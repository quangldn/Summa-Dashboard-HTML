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Band Legend" sheetId="3" state="visible" r:id="rId3"/>
    <sheet xmlns:r="http://schemas.openxmlformats.org/officeDocument/2006/relationships" name="Shelf Variant" sheetId="4" state="visible" r:id="rId4"/>
    <sheet xmlns:r="http://schemas.openxmlformats.org/officeDocument/2006/relationships" name="Topology Calc" sheetId="5" state="visible" r:id="rId5"/>
  </sheets>
  <definedNames>
    <definedName name="BandLegend">'Band Legend'!$A$5:$B$13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001F5F"/>
      <sz val="22"/>
    </font>
    <font>
      <name val="Calibri"/>
      <i val="1"/>
      <color rgb="005A6072"/>
      <sz val="11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124191"/>
      <sz val="10"/>
    </font>
    <font>
      <name val="Calibri"/>
      <color rgb="005A6072"/>
      <sz val="10"/>
    </font>
    <font>
      <name val="Calibri"/>
      <sz val="11"/>
    </font>
    <font>
      <name val="Calibri"/>
      <b val="1"/>
      <color rgb="00001F5F"/>
      <sz val="11"/>
    </font>
    <font>
      <name val="Calibri"/>
      <color rgb="005A6072"/>
      <sz val="11"/>
    </font>
    <font>
      <name val="Calibri"/>
      <i val="1"/>
      <color rgb="005A6072"/>
      <sz val="9"/>
    </font>
    <font>
      <name val="Calibri"/>
      <b val="1"/>
      <color rgb="00000000"/>
      <sz val="10"/>
    </font>
    <font>
      <name val="Calibri"/>
      <sz val="10"/>
    </font>
    <font>
      <name val="Calibri"/>
      <i val="1"/>
      <color rgb="005A6072"/>
      <sz val="10"/>
    </font>
    <font>
      <name val="Calibri"/>
      <b val="1"/>
      <color rgb="00001F5F"/>
      <sz val="18"/>
    </font>
    <font>
      <name val="Calibri"/>
      <b val="1"/>
      <sz val="11"/>
    </font>
    <font>
      <name val="Calibri"/>
      <b val="1"/>
      <color rgb="00001F5F"/>
      <sz val="12"/>
    </font>
    <font>
      <name val="Calibri"/>
      <b val="1"/>
      <color rgb="00001F5F"/>
      <sz val="14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001F5F"/>
      </patternFill>
    </fill>
    <fill>
      <patternFill patternType="solid">
        <fgColor rgb="00124191"/>
      </patternFill>
    </fill>
    <fill>
      <patternFill patternType="solid">
        <fgColor rgb="00F0F2F8"/>
      </patternFill>
    </fill>
    <fill>
      <patternFill patternType="solid">
        <fgColor rgb="002E5BB8"/>
      </patternFill>
    </fill>
    <fill>
      <patternFill patternType="solid">
        <fgColor rgb="00FFF4D6"/>
      </patternFill>
    </fill>
    <fill>
      <patternFill patternType="solid">
        <fgColor rgb="00DFF4F1"/>
      </patternFill>
    </fill>
  </fills>
  <borders count="2">
    <border>
      <left/>
      <right/>
      <top/>
      <bottom/>
      <diagonal/>
    </border>
    <border>
      <left style="thin">
        <color rgb="00E1E5EE"/>
      </left>
      <right style="thin">
        <color rgb="00E1E5EE"/>
      </right>
      <top style="thin">
        <color rgb="00E1E5EE"/>
      </top>
      <bottom style="thin">
        <color rgb="00E1E5EE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top" wrapText="1" indent="1"/>
    </xf>
    <xf numFmtId="0" fontId="8" fillId="0" borderId="0" pivotButton="0" quotePrefix="0" xfId="0"/>
    <xf numFmtId="0" fontId="9" fillId="0" borderId="0" applyAlignment="1" pivotButton="0" quotePrefix="0" xfId="0">
      <alignment vertical="top" wrapText="1" indent="1"/>
    </xf>
    <xf numFmtId="0" fontId="10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4" fillId="0" borderId="0" pivotButton="0" quotePrefix="0" xfId="0"/>
    <xf numFmtId="0" fontId="13" fillId="0" borderId="0" pivotButton="0" quotePrefix="0" xfId="0"/>
    <xf numFmtId="0" fontId="12" fillId="0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1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 indent="1"/>
    </xf>
    <xf numFmtId="0" fontId="17" fillId="7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6" customHeight="1">
      <c r="A1" s="1" t="inlineStr">
        <is>
          <t>HS Configurator v3.1 — Catalog + Power + Family</t>
        </is>
      </c>
    </row>
    <row r="2" ht="36" customHeight="1">
      <c r="A2" s="2" t="inlineStr">
        <is>
          <t>Adds R9.0 PowerDraw power values, chassis-family rule (Quang's #5), RU per chassis, drops weight per #8. Source of truth for mofn.html.</t>
        </is>
      </c>
    </row>
    <row r="4" ht="22" customHeight="1">
      <c r="A4" s="3" t="inlineStr">
        <is>
          <t>WHAT CHANGED IN v3.1</t>
        </is>
      </c>
    </row>
    <row r="5" ht="36" customHeight="1">
      <c r="A5" s="4" t="inlineStr">
        <is>
          <t>Item</t>
        </is>
      </c>
      <c r="B5" s="4" t="inlineStr">
        <is>
          <t>Detail</t>
        </is>
      </c>
    </row>
    <row r="6" ht="30" customHeight="1">
      <c r="A6" s="5" t="inlineStr">
        <is>
          <t>Power columns</t>
        </is>
      </c>
      <c r="B6" s="6" t="inlineStr">
        <is>
          <t>Typ@25C / Max@40C / Max@55C — sourced from 1830 GX PowerDraw R9.0_V1.xlsx. Provenance tagged: exact / variant / estimate / passive.</t>
        </is>
      </c>
    </row>
    <row r="7" ht="30" customHeight="1">
      <c r="A7" s="7" t="inlineStr">
        <is>
          <t>Chassis family</t>
        </is>
      </c>
      <c r="B7" s="8" t="inlineStr">
        <is>
          <t>Each card classified compact (G34c/G32c/G38c) or full (G32E/G34L) by PN 2nd-char: G/H/R = full, C/D = compact.</t>
        </is>
      </c>
    </row>
    <row r="8" ht="30" customHeight="1">
      <c r="A8" s="5" t="inlineStr">
        <is>
          <t>Fits Chassis col</t>
        </is>
      </c>
      <c r="B8" s="6" t="inlineStr">
        <is>
          <t>Explicit list of chassis a card fits (Quang's rule #5).</t>
        </is>
      </c>
    </row>
    <row r="9" ht="30" customHeight="1">
      <c r="A9" s="7" t="inlineStr">
        <is>
          <t>RU column</t>
        </is>
      </c>
      <c r="B9" s="8" t="inlineStr">
        <is>
          <t>Rack-units consumed by each chassis (G31=1U, G32/G32E=2U, G34c=4U).</t>
        </is>
      </c>
    </row>
    <row r="10" ht="30" customHeight="1">
      <c r="A10" s="5" t="inlineStr">
        <is>
          <t>Weight dropped</t>
        </is>
      </c>
      <c r="B10" s="6" t="inlineStr">
        <is>
          <t>Per item #8 — kept in PowerDraw, not surfaced in this catalog.</t>
        </is>
      </c>
    </row>
    <row r="11" ht="30" customHeight="1">
      <c r="A11" s="7" t="inlineStr">
        <is>
          <t>600mm closed cabinet</t>
        </is>
      </c>
      <c r="B11" s="8" t="inlineStr">
        <is>
          <t>Same chassis subset as 300mm (full-depth 700mm chassis don't fit).</t>
        </is>
      </c>
    </row>
    <row r="12" ht="30" customHeight="1">
      <c r="A12" s="5" t="inlineStr">
        <is>
          <t>Rack budget</t>
        </is>
      </c>
      <c r="B12" s="6" t="inlineStr">
        <is>
          <t>Configurator UI takes rack count + rack max power; warns when load &gt; rack × 0.9 PEM eff.</t>
        </is>
      </c>
    </row>
    <row r="14" ht="22" customHeight="1">
      <c r="A14" s="3" t="inlineStr">
        <is>
          <t>QUANG'S RULE #5 (chassis family)</t>
        </is>
      </c>
    </row>
    <row r="15">
      <c r="A15" s="9" t="inlineStr">
        <is>
          <t>Cards with PN char after G3S- = G or H or R → MUST go in G32E / G34L (full 700mm chassis)</t>
        </is>
      </c>
    </row>
    <row r="16">
      <c r="A16" s="9" t="inlineStr">
        <is>
          <t>Cards with PN char after G3S- = C or D → only fit G34c / G32c / G38c (compact 300mm chassis)</t>
        </is>
      </c>
    </row>
    <row r="17">
      <c r="A17" s="9" t="inlineStr">
        <is>
          <t>Passive cards (GQS-OMD*) fit any chassis (no power constraint)</t>
        </is>
      </c>
    </row>
    <row r="19">
      <c r="A19" s="10" t="inlineStr">
        <is>
          <t>Trade-off example (FP=4 C+L Raman):</t>
        </is>
      </c>
    </row>
    <row r="20">
      <c r="A20" s="11" t="inlineStr">
        <is>
          <t>• Rack=700mm: 1× G4ILA4SM (MRA) + 1× H4IRB4SG hybrid in 1× G32E (2U) — efficient</t>
        </is>
      </c>
    </row>
    <row r="21">
      <c r="A21" s="11" t="inlineStr">
        <is>
          <t>• Rack=300mm: 4× D2ILASGM + 8× C2RPBMZZ in 3× G34c (12U) — more cards, more chassis, but compact rack</t>
        </is>
      </c>
    </row>
    <row r="24">
      <c r="A24" s="12" t="inlineStr">
        <is>
          <t>Maintained by Quang · Nokia ON Sales Engineering · 2026-05-25 · v3.1</t>
        </is>
      </c>
    </row>
  </sheetData>
  <mergeCells count="8">
    <mergeCell ref="A17:D17"/>
    <mergeCell ref="A4:D4"/>
    <mergeCell ref="A2:H2"/>
    <mergeCell ref="A20:D20"/>
    <mergeCell ref="A21:D21"/>
    <mergeCell ref="A15:D15"/>
    <mergeCell ref="A16:D1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7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9" customWidth="1" min="4" max="4"/>
    <col width="18" customWidth="1" min="5" max="5"/>
    <col width="10" customWidth="1" min="6" max="6"/>
    <col width="16" customWidth="1" min="7" max="7"/>
    <col width="11" customWidth="1" min="8" max="8"/>
    <col width="9" customWidth="1" min="9" max="9"/>
    <col width="7" customWidth="1" min="10" max="10"/>
    <col width="7" customWidth="1" min="11" max="11"/>
    <col width="7" customWidth="1" min="12" max="12"/>
    <col width="9" customWidth="1" min="13" max="13"/>
    <col width="7" customWidth="1" min="14" max="14"/>
    <col width="11" customWidth="1" min="15" max="15"/>
    <col width="12" customWidth="1" min="16" max="16"/>
    <col width="12" customWidth="1" min="17" max="17"/>
    <col width="12" customWidth="1" min="18" max="18"/>
    <col width="10" customWidth="1" min="19" max="19"/>
    <col width="12" customWidth="1" min="20" max="20"/>
    <col width="30" customWidth="1" min="21" max="21"/>
  </cols>
  <sheetData>
    <row r="1" ht="36" customHeight="1">
      <c r="A1" s="13" t="inlineStr">
        <is>
          <t>Section</t>
        </is>
      </c>
      <c r="B1" s="13" t="inlineStr">
        <is>
          <t>Category</t>
        </is>
      </c>
      <c r="C1" s="13" t="inlineStr">
        <is>
          <t>PN</t>
        </is>
      </c>
      <c r="D1" s="13" t="inlineStr">
        <is>
          <t>Band suffix</t>
        </is>
      </c>
      <c r="E1" s="13" t="inlineStr">
        <is>
          <t>Band coverage</t>
        </is>
      </c>
      <c r="F1" s="13" t="inlineStr">
        <is>
          <t>Family</t>
        </is>
      </c>
      <c r="G1" s="13" t="inlineStr">
        <is>
          <t>Fits Chassis</t>
        </is>
      </c>
      <c r="H1" s="13" t="inlineStr">
        <is>
          <t>Release</t>
        </is>
      </c>
      <c r="I1" s="13" t="inlineStr">
        <is>
          <t>Rack (mm)</t>
        </is>
      </c>
      <c r="J1" s="13" t="inlineStr">
        <is>
          <t>RU</t>
        </is>
      </c>
      <c r="K1" s="13" t="inlineStr">
        <is>
          <t>fpCap</t>
        </is>
      </c>
      <c r="L1" s="13" t="inlineStr">
        <is>
          <t>BIDI</t>
        </is>
      </c>
      <c r="M1" s="13" t="inlineStr">
        <is>
          <t>ROADM deg</t>
        </is>
      </c>
      <c r="N1" s="13" t="inlineStr">
        <is>
          <t>OMD ch</t>
        </is>
      </c>
      <c r="O1" s="13" t="inlineStr">
        <is>
          <t>Amp type</t>
        </is>
      </c>
      <c r="P1" s="13" t="inlineStr">
        <is>
          <t>Typ Power (25°C, W)</t>
        </is>
      </c>
      <c r="Q1" s="13" t="inlineStr">
        <is>
          <t>Max Power (40°C, W)</t>
        </is>
      </c>
      <c r="R1" s="13" t="inlineStr">
        <is>
          <t>Max Power (55°C, W)</t>
        </is>
      </c>
      <c r="S1" s="13" t="inlineStr">
        <is>
          <t>Power src</t>
        </is>
      </c>
      <c r="T1" s="13" t="inlineStr">
        <is>
          <t>HS Apply</t>
        </is>
      </c>
      <c r="U1" s="13" t="inlineStr">
        <is>
          <t>Notes</t>
        </is>
      </c>
    </row>
    <row r="2" ht="22" customHeight="1">
      <c r="A2" s="14" t="inlineStr">
        <is>
          <t>TERMINATION NODE — Chassis (Full 700mm — fits G-/H-/R-prefix cards)</t>
        </is>
      </c>
    </row>
    <row r="3" ht="22" customHeight="1">
      <c r="A3" s="5" t="inlineStr">
        <is>
          <t>Term</t>
        </is>
      </c>
      <c r="B3" s="15" t="inlineStr">
        <is>
          <t>Chassis</t>
        </is>
      </c>
      <c r="C3" s="16" t="inlineStr">
        <is>
          <t>G31</t>
        </is>
      </c>
      <c r="D3" s="17" t="inlineStr">
        <is>
          <t>*</t>
        </is>
      </c>
      <c r="E3" s="18">
        <f>IFERROR(VLOOKUP(D3,BandLegend,2,FALSE),"")</f>
        <v/>
      </c>
      <c r="F3" s="19" t="inlineStr">
        <is>
          <t>full</t>
        </is>
      </c>
      <c r="G3" s="15" t="inlineStr">
        <is>
          <t>G31/G32/G32E</t>
        </is>
      </c>
      <c r="H3" s="17" t="inlineStr"/>
      <c r="I3" s="17" t="n">
        <v>700</v>
      </c>
      <c r="J3" s="20" t="n">
        <v>1</v>
      </c>
      <c r="K3" s="20" t="n">
        <v>4</v>
      </c>
      <c r="L3" s="21" t="inlineStr">
        <is>
          <t>Yes</t>
        </is>
      </c>
      <c r="M3" s="17" t="inlineStr"/>
      <c r="N3" s="17" t="inlineStr"/>
      <c r="O3" s="22" t="inlineStr"/>
      <c r="P3" s="20" t="n">
        <v>120</v>
      </c>
      <c r="Q3" s="20" t="n">
        <v>300</v>
      </c>
      <c r="R3" s="17" t="n">
        <v>300</v>
      </c>
      <c r="S3" s="22" t="inlineStr">
        <is>
          <t>exact</t>
        </is>
      </c>
      <c r="T3" s="23" t="inlineStr">
        <is>
          <t>No - Single Controller</t>
        </is>
      </c>
      <c r="U3" s="6" t="inlineStr">
        <is>
          <t>Older single-ctrl chassis · pw: baseline w/ FRCU + 2 PEMs + 3 fans</t>
        </is>
      </c>
    </row>
    <row r="4" ht="22" customHeight="1">
      <c r="A4" s="7" t="inlineStr">
        <is>
          <t>Term</t>
        </is>
      </c>
      <c r="B4" s="24" t="inlineStr">
        <is>
          <t>Chassis</t>
        </is>
      </c>
      <c r="C4" s="25" t="inlineStr">
        <is>
          <t>G32</t>
        </is>
      </c>
      <c r="D4" s="26" t="inlineStr">
        <is>
          <t>*</t>
        </is>
      </c>
      <c r="E4" s="27">
        <f>IFERROR(VLOOKUP(D4,BandLegend,2,FALSE),"")</f>
        <v/>
      </c>
      <c r="F4" s="19" t="inlineStr">
        <is>
          <t>full</t>
        </is>
      </c>
      <c r="G4" s="24" t="inlineStr">
        <is>
          <t>G31/G32/G32E</t>
        </is>
      </c>
      <c r="H4" s="26" t="inlineStr"/>
      <c r="I4" s="26" t="n">
        <v>700</v>
      </c>
      <c r="J4" s="28" t="n">
        <v>2</v>
      </c>
      <c r="K4" s="28" t="n">
        <v>4</v>
      </c>
      <c r="L4" s="21" t="inlineStr">
        <is>
          <t>Yes</t>
        </is>
      </c>
      <c r="M4" s="26" t="inlineStr"/>
      <c r="N4" s="26" t="inlineStr"/>
      <c r="O4" s="29" t="inlineStr"/>
      <c r="P4" s="28" t="n">
        <v>176</v>
      </c>
      <c r="Q4" s="28" t="n">
        <v>382</v>
      </c>
      <c r="R4" s="26" t="n">
        <v>382</v>
      </c>
      <c r="S4" s="29" t="inlineStr">
        <is>
          <t>exact</t>
        </is>
      </c>
      <c r="T4" s="30" t="inlineStr">
        <is>
          <t>Yes</t>
        </is>
      </c>
      <c r="U4" s="8" t="inlineStr">
        <is>
          <t>Default term chassis · pw: baseline (User-Input output)</t>
        </is>
      </c>
    </row>
    <row r="5" ht="22" customHeight="1">
      <c r="A5" s="5" t="inlineStr">
        <is>
          <t>Term</t>
        </is>
      </c>
      <c r="B5" s="15" t="inlineStr">
        <is>
          <t>Chassis</t>
        </is>
      </c>
      <c r="C5" s="16" t="inlineStr">
        <is>
          <t>G32E</t>
        </is>
      </c>
      <c r="D5" s="17" t="inlineStr">
        <is>
          <t>*</t>
        </is>
      </c>
      <c r="E5" s="18">
        <f>IFERROR(VLOOKUP(D5,BandLegend,2,FALSE),"")</f>
        <v/>
      </c>
      <c r="F5" s="19" t="inlineStr">
        <is>
          <t>full</t>
        </is>
      </c>
      <c r="G5" s="15" t="inlineStr">
        <is>
          <t>G31/G32/G32E</t>
        </is>
      </c>
      <c r="H5" s="17" t="inlineStr">
        <is>
          <t>R8.1</t>
        </is>
      </c>
      <c r="I5" s="17" t="n">
        <v>700</v>
      </c>
      <c r="J5" s="20" t="n">
        <v>2</v>
      </c>
      <c r="K5" s="20" t="n">
        <v>4</v>
      </c>
      <c r="L5" s="21" t="inlineStr">
        <is>
          <t>Yes</t>
        </is>
      </c>
      <c r="M5" s="17" t="inlineStr"/>
      <c r="N5" s="17" t="inlineStr"/>
      <c r="O5" s="22" t="inlineStr"/>
      <c r="P5" s="20" t="n">
        <v>176</v>
      </c>
      <c r="Q5" s="20" t="n">
        <v>382</v>
      </c>
      <c r="R5" s="17" t="n">
        <v>382</v>
      </c>
      <c r="S5" s="22" t="inlineStr">
        <is>
          <t>variant</t>
        </is>
      </c>
      <c r="T5" s="30" t="inlineStr">
        <is>
          <t>Yes</t>
        </is>
      </c>
      <c r="U5" s="6" t="inlineStr">
        <is>
          <t>Extended-depth, default HS · pw: inherits G32</t>
        </is>
      </c>
    </row>
    <row r="6" ht="22" customHeight="1">
      <c r="A6" s="7" t="inlineStr">
        <is>
          <t>Term</t>
        </is>
      </c>
      <c r="B6" s="24" t="inlineStr">
        <is>
          <t>Chassis</t>
        </is>
      </c>
      <c r="C6" s="25" t="inlineStr">
        <is>
          <t>G34L</t>
        </is>
      </c>
      <c r="D6" s="26" t="inlineStr">
        <is>
          <t>L</t>
        </is>
      </c>
      <c r="E6" s="27">
        <f>IFERROR(VLOOKUP(D6,BandLegend,2,FALSE),"")</f>
        <v/>
      </c>
      <c r="F6" s="19" t="inlineStr">
        <is>
          <t>full</t>
        </is>
      </c>
      <c r="G6" s="24" t="inlineStr">
        <is>
          <t>G31/G32/G32E</t>
        </is>
      </c>
      <c r="H6" s="26" t="inlineStr">
        <is>
          <t>R9.2 tbc</t>
        </is>
      </c>
      <c r="I6" s="26" t="n">
        <v>700</v>
      </c>
      <c r="J6" s="28" t="n">
        <v>4</v>
      </c>
      <c r="K6" s="28" t="n">
        <v>4</v>
      </c>
      <c r="L6" s="21" t="inlineStr">
        <is>
          <t>Yes</t>
        </is>
      </c>
      <c r="M6" s="26" t="inlineStr"/>
      <c r="N6" s="26" t="inlineStr"/>
      <c r="O6" s="29" t="inlineStr"/>
      <c r="P6" s="31" t="n">
        <v>200</v>
      </c>
      <c r="Q6" s="31" t="n">
        <v>420</v>
      </c>
      <c r="R6" s="32" t="n">
        <v>420</v>
      </c>
      <c r="S6" s="29" t="inlineStr">
        <is>
          <t>estimate</t>
        </is>
      </c>
      <c r="T6" s="30" t="inlineStr">
        <is>
          <t>Yes</t>
        </is>
      </c>
      <c r="U6" s="8" t="inlineStr">
        <is>
          <t>L-band 700mm · pw: L-band est</t>
        </is>
      </c>
    </row>
    <row r="7" ht="22" customHeight="1">
      <c r="A7" s="14" t="inlineStr">
        <is>
          <t>TERMINATION NODE — OMD (Mux, passive)</t>
        </is>
      </c>
    </row>
    <row r="8" ht="22" customHeight="1">
      <c r="A8" s="5" t="inlineStr">
        <is>
          <t>Term</t>
        </is>
      </c>
      <c r="B8" s="15" t="inlineStr">
        <is>
          <t>OMD</t>
        </is>
      </c>
      <c r="C8" s="16" t="inlineStr">
        <is>
          <t>GQS-OMD32EZZ-N0</t>
        </is>
      </c>
      <c r="D8" s="17" t="inlineStr">
        <is>
          <t>N</t>
        </is>
      </c>
      <c r="E8" s="18">
        <f>IFERROR(VLOOKUP(D8,BandLegend,2,FALSE),"")</f>
        <v/>
      </c>
      <c r="F8" s="33" t="inlineStr">
        <is>
          <t>any</t>
        </is>
      </c>
      <c r="G8" s="15" t="inlineStr">
        <is>
          <t>Any</t>
        </is>
      </c>
      <c r="H8" s="17" t="inlineStr"/>
      <c r="I8" s="17" t="inlineStr"/>
      <c r="J8" s="17" t="inlineStr"/>
      <c r="K8" s="17" t="n">
        <v>1</v>
      </c>
      <c r="L8" s="21" t="inlineStr">
        <is>
          <t>Yes</t>
        </is>
      </c>
      <c r="M8" s="17" t="inlineStr"/>
      <c r="N8" s="17" t="n">
        <v>32</v>
      </c>
      <c r="O8" s="22" t="inlineStr"/>
      <c r="P8" s="34" t="n">
        <v>0</v>
      </c>
      <c r="Q8" s="34" t="n">
        <v>0</v>
      </c>
      <c r="R8" s="21" t="n">
        <v>0</v>
      </c>
      <c r="S8" s="22" t="inlineStr">
        <is>
          <t>passive</t>
        </is>
      </c>
      <c r="T8" s="30" t="inlineStr">
        <is>
          <t>Yes</t>
        </is>
      </c>
      <c r="U8" s="6" t="inlineStr">
        <is>
          <t xml:space="preserve"> · pw: passive mux</t>
        </is>
      </c>
    </row>
    <row r="9" ht="22" customHeight="1">
      <c r="A9" s="7" t="inlineStr">
        <is>
          <t>Term</t>
        </is>
      </c>
      <c r="B9" s="24" t="inlineStr">
        <is>
          <t>OMD</t>
        </is>
      </c>
      <c r="C9" s="25" t="inlineStr">
        <is>
          <t>GQS-OMD40EZZ-X0</t>
        </is>
      </c>
      <c r="D9" s="26" t="inlineStr">
        <is>
          <t>X</t>
        </is>
      </c>
      <c r="E9" s="27">
        <f>IFERROR(VLOOKUP(D9,BandLegend,2,FALSE),"")</f>
        <v/>
      </c>
      <c r="F9" s="35" t="inlineStr">
        <is>
          <t>any</t>
        </is>
      </c>
      <c r="G9" s="24" t="inlineStr">
        <is>
          <t>Any</t>
        </is>
      </c>
      <c r="H9" s="26" t="inlineStr"/>
      <c r="I9" s="26" t="inlineStr"/>
      <c r="J9" s="26" t="inlineStr"/>
      <c r="K9" s="26" t="n">
        <v>1</v>
      </c>
      <c r="L9" s="21" t="inlineStr">
        <is>
          <t>Yes</t>
        </is>
      </c>
      <c r="M9" s="26" t="inlineStr"/>
      <c r="N9" s="26" t="n">
        <v>40</v>
      </c>
      <c r="O9" s="29" t="inlineStr"/>
      <c r="P9" s="34" t="n">
        <v>0</v>
      </c>
      <c r="Q9" s="34" t="n">
        <v>0</v>
      </c>
      <c r="R9" s="21" t="n">
        <v>0</v>
      </c>
      <c r="S9" s="29" t="inlineStr">
        <is>
          <t>passive</t>
        </is>
      </c>
      <c r="T9" s="30" t="inlineStr">
        <is>
          <t>Yes</t>
        </is>
      </c>
      <c r="U9" s="8" t="inlineStr">
        <is>
          <t xml:space="preserve"> · pw: passive mux</t>
        </is>
      </c>
    </row>
    <row r="10" ht="22" customHeight="1">
      <c r="A10" s="5" t="inlineStr">
        <is>
          <t>Term</t>
        </is>
      </c>
      <c r="B10" s="15" t="inlineStr">
        <is>
          <t>OMD</t>
        </is>
      </c>
      <c r="C10" s="16" t="inlineStr">
        <is>
          <t>GQS-OMD42EZZ-N0</t>
        </is>
      </c>
      <c r="D10" s="17" t="inlineStr">
        <is>
          <t>N</t>
        </is>
      </c>
      <c r="E10" s="18">
        <f>IFERROR(VLOOKUP(D10,BandLegend,2,FALSE),"")</f>
        <v/>
      </c>
      <c r="F10" s="33" t="inlineStr">
        <is>
          <t>any</t>
        </is>
      </c>
      <c r="G10" s="15" t="inlineStr">
        <is>
          <t>Any</t>
        </is>
      </c>
      <c r="H10" s="17" t="inlineStr"/>
      <c r="I10" s="17" t="inlineStr"/>
      <c r="J10" s="17" t="inlineStr"/>
      <c r="K10" s="17" t="n">
        <v>1</v>
      </c>
      <c r="L10" s="21" t="inlineStr">
        <is>
          <t>Yes</t>
        </is>
      </c>
      <c r="M10" s="17" t="inlineStr"/>
      <c r="N10" s="17" t="n">
        <v>42</v>
      </c>
      <c r="O10" s="22" t="inlineStr"/>
      <c r="P10" s="34" t="n">
        <v>0</v>
      </c>
      <c r="Q10" s="34" t="n">
        <v>0</v>
      </c>
      <c r="R10" s="21" t="n">
        <v>0</v>
      </c>
      <c r="S10" s="22" t="inlineStr">
        <is>
          <t>passive</t>
        </is>
      </c>
      <c r="T10" s="30" t="inlineStr">
        <is>
          <t>Yes</t>
        </is>
      </c>
      <c r="U10" s="6" t="inlineStr">
        <is>
          <t xml:space="preserve"> · pw: passive mux</t>
        </is>
      </c>
    </row>
    <row r="11" ht="22" customHeight="1">
      <c r="A11" s="7" t="inlineStr">
        <is>
          <t>Term</t>
        </is>
      </c>
      <c r="B11" s="24" t="inlineStr">
        <is>
          <t>OMD</t>
        </is>
      </c>
      <c r="C11" s="25" t="inlineStr">
        <is>
          <t>GQS-OMD42EZZ-L0</t>
        </is>
      </c>
      <c r="D11" s="26" t="inlineStr">
        <is>
          <t>L</t>
        </is>
      </c>
      <c r="E11" s="27">
        <f>IFERROR(VLOOKUP(D11,BandLegend,2,FALSE),"")</f>
        <v/>
      </c>
      <c r="F11" s="35" t="inlineStr">
        <is>
          <t>any</t>
        </is>
      </c>
      <c r="G11" s="24" t="inlineStr">
        <is>
          <t>Any</t>
        </is>
      </c>
      <c r="H11" s="26" t="inlineStr"/>
      <c r="I11" s="26" t="inlineStr"/>
      <c r="J11" s="26" t="inlineStr"/>
      <c r="K11" s="26" t="n">
        <v>1</v>
      </c>
      <c r="L11" s="21" t="inlineStr">
        <is>
          <t>Yes</t>
        </is>
      </c>
      <c r="M11" s="26" t="inlineStr"/>
      <c r="N11" s="26" t="n">
        <v>42</v>
      </c>
      <c r="O11" s="29" t="inlineStr"/>
      <c r="P11" s="34" t="n">
        <v>0</v>
      </c>
      <c r="Q11" s="34" t="n">
        <v>0</v>
      </c>
      <c r="R11" s="21" t="n">
        <v>0</v>
      </c>
      <c r="S11" s="29" t="inlineStr">
        <is>
          <t>passive</t>
        </is>
      </c>
      <c r="T11" s="30" t="inlineStr">
        <is>
          <t>Yes</t>
        </is>
      </c>
      <c r="U11" s="8" t="inlineStr">
        <is>
          <t>L-band · pw: passive mux</t>
        </is>
      </c>
    </row>
    <row r="12" ht="22" customHeight="1">
      <c r="A12" s="5" t="inlineStr">
        <is>
          <t>Term</t>
        </is>
      </c>
      <c r="B12" s="15" t="inlineStr">
        <is>
          <t>OMD</t>
        </is>
      </c>
      <c r="C12" s="16" t="inlineStr">
        <is>
          <t>GQS-OMD48EZZ-00</t>
        </is>
      </c>
      <c r="D12" s="17" t="inlineStr">
        <is>
          <t>0</t>
        </is>
      </c>
      <c r="E12" s="18">
        <f>IFERROR(VLOOKUP(D12,BandLegend,2,FALSE),"")</f>
        <v/>
      </c>
      <c r="F12" s="33" t="inlineStr">
        <is>
          <t>any</t>
        </is>
      </c>
      <c r="G12" s="15" t="inlineStr">
        <is>
          <t>Any</t>
        </is>
      </c>
      <c r="H12" s="17" t="inlineStr"/>
      <c r="I12" s="17" t="inlineStr"/>
      <c r="J12" s="17" t="inlineStr"/>
      <c r="K12" s="17" t="n">
        <v>1</v>
      </c>
      <c r="L12" s="21" t="inlineStr">
        <is>
          <t>Yes</t>
        </is>
      </c>
      <c r="M12" s="17" t="inlineStr"/>
      <c r="N12" s="17" t="n">
        <v>48</v>
      </c>
      <c r="O12" s="22" t="inlineStr"/>
      <c r="P12" s="34" t="n">
        <v>0</v>
      </c>
      <c r="Q12" s="34" t="n">
        <v>0</v>
      </c>
      <c r="R12" s="21" t="n">
        <v>0</v>
      </c>
      <c r="S12" s="22" t="inlineStr">
        <is>
          <t>passive</t>
        </is>
      </c>
      <c r="T12" s="30" t="inlineStr">
        <is>
          <t>Yes</t>
        </is>
      </c>
      <c r="U12" s="6" t="inlineStr">
        <is>
          <t>Band-agnostic · pw: passive mux</t>
        </is>
      </c>
    </row>
    <row r="13" ht="22" customHeight="1">
      <c r="A13" s="7" t="inlineStr">
        <is>
          <t>Term</t>
        </is>
      </c>
      <c r="B13" s="24" t="inlineStr">
        <is>
          <t>OMD</t>
        </is>
      </c>
      <c r="C13" s="25" t="inlineStr">
        <is>
          <t>GQS-OMD64ZZZ-00</t>
        </is>
      </c>
      <c r="D13" s="26" t="inlineStr">
        <is>
          <t>0</t>
        </is>
      </c>
      <c r="E13" s="27">
        <f>IFERROR(VLOOKUP(D13,BandLegend,2,FALSE),"")</f>
        <v/>
      </c>
      <c r="F13" s="35" t="inlineStr">
        <is>
          <t>any</t>
        </is>
      </c>
      <c r="G13" s="24" t="inlineStr">
        <is>
          <t>Any</t>
        </is>
      </c>
      <c r="H13" s="26" t="inlineStr"/>
      <c r="I13" s="26" t="inlineStr"/>
      <c r="J13" s="26" t="inlineStr"/>
      <c r="K13" s="26" t="n">
        <v>1</v>
      </c>
      <c r="L13" s="21" t="inlineStr">
        <is>
          <t>Yes</t>
        </is>
      </c>
      <c r="M13" s="26" t="inlineStr"/>
      <c r="N13" s="26" t="n">
        <v>64</v>
      </c>
      <c r="O13" s="29" t="inlineStr"/>
      <c r="P13" s="34" t="n">
        <v>0</v>
      </c>
      <c r="Q13" s="34" t="n">
        <v>0</v>
      </c>
      <c r="R13" s="21" t="n">
        <v>0</v>
      </c>
      <c r="S13" s="29" t="inlineStr">
        <is>
          <t>passive</t>
        </is>
      </c>
      <c r="T13" s="30" t="inlineStr">
        <is>
          <t>Yes</t>
        </is>
      </c>
      <c r="U13" s="8" t="inlineStr">
        <is>
          <t>Band-agnostic · pw: passive mux</t>
        </is>
      </c>
    </row>
    <row r="14" ht="22" customHeight="1">
      <c r="A14" s="5" t="inlineStr">
        <is>
          <t>Term</t>
        </is>
      </c>
      <c r="B14" s="15" t="inlineStr">
        <is>
          <t>OMD</t>
        </is>
      </c>
      <c r="C14" s="16" t="inlineStr">
        <is>
          <t>GQS-OMD64SZZ-C0</t>
        </is>
      </c>
      <c r="D14" s="17" t="inlineStr">
        <is>
          <t>C</t>
        </is>
      </c>
      <c r="E14" s="18">
        <f>IFERROR(VLOOKUP(D14,BandLegend,2,FALSE),"")</f>
        <v/>
      </c>
      <c r="F14" s="33" t="inlineStr">
        <is>
          <t>any</t>
        </is>
      </c>
      <c r="G14" s="15" t="inlineStr">
        <is>
          <t>Any</t>
        </is>
      </c>
      <c r="H14" s="17" t="inlineStr"/>
      <c r="I14" s="17" t="inlineStr"/>
      <c r="J14" s="17" t="inlineStr"/>
      <c r="K14" s="17" t="n">
        <v>1</v>
      </c>
      <c r="L14" s="21" t="inlineStr">
        <is>
          <t>Yes</t>
        </is>
      </c>
      <c r="M14" s="17" t="inlineStr"/>
      <c r="N14" s="17" t="n">
        <v>64</v>
      </c>
      <c r="O14" s="22" t="inlineStr"/>
      <c r="P14" s="34" t="n">
        <v>0</v>
      </c>
      <c r="Q14" s="34" t="n">
        <v>0</v>
      </c>
      <c r="R14" s="21" t="n">
        <v>0</v>
      </c>
      <c r="S14" s="22" t="inlineStr">
        <is>
          <t>passive</t>
        </is>
      </c>
      <c r="T14" s="30" t="inlineStr">
        <is>
          <t>Yes</t>
        </is>
      </c>
      <c r="U14" s="6" t="inlineStr">
        <is>
          <t>Std C upg · pw: passive mux</t>
        </is>
      </c>
    </row>
    <row r="15" ht="22" customHeight="1">
      <c r="A15" s="14" t="inlineStr">
        <is>
          <t>OCC — Control</t>
        </is>
      </c>
    </row>
    <row r="16" ht="22" customHeight="1">
      <c r="A16" s="5" t="inlineStr">
        <is>
          <t>Term</t>
        </is>
      </c>
      <c r="B16" s="15" t="inlineStr">
        <is>
          <t>OCC</t>
        </is>
      </c>
      <c r="C16" s="16" t="inlineStr">
        <is>
          <t>GLS-G30OCC2T-00</t>
        </is>
      </c>
      <c r="D16" s="17" t="inlineStr">
        <is>
          <t>0</t>
        </is>
      </c>
      <c r="E16" s="18">
        <f>IFERROR(VLOOKUP(D16,BandLegend,2,FALSE),"")</f>
        <v/>
      </c>
      <c r="F16" s="19" t="inlineStr">
        <is>
          <t>full</t>
        </is>
      </c>
      <c r="G16" s="15" t="inlineStr">
        <is>
          <t>G31/G32/G32E</t>
        </is>
      </c>
      <c r="H16" s="17" t="inlineStr">
        <is>
          <t>R6.0</t>
        </is>
      </c>
      <c r="I16" s="17" t="inlineStr"/>
      <c r="J16" s="17" t="inlineStr"/>
      <c r="K16" s="17" t="n">
        <v>1</v>
      </c>
      <c r="L16" s="21" t="inlineStr">
        <is>
          <t>Yes</t>
        </is>
      </c>
      <c r="M16" s="17" t="inlineStr"/>
      <c r="N16" s="17" t="inlineStr"/>
      <c r="O16" s="22" t="inlineStr"/>
      <c r="P16" s="20" t="n">
        <v>20</v>
      </c>
      <c r="Q16" s="20" t="n">
        <v>25</v>
      </c>
      <c r="R16" s="17" t="n">
        <v>25</v>
      </c>
      <c r="S16" s="22" t="inlineStr">
        <is>
          <t>exact</t>
        </is>
      </c>
      <c r="T16" s="30" t="inlineStr">
        <is>
          <t>Yes</t>
        </is>
      </c>
      <c r="U16" s="6" t="inlineStr">
        <is>
          <t>Full-chassis OCC</t>
        </is>
      </c>
    </row>
    <row r="17" ht="22" customHeight="1">
      <c r="A17" s="7" t="inlineStr">
        <is>
          <t>ILA</t>
        </is>
      </c>
      <c r="B17" s="24" t="inlineStr">
        <is>
          <t>OCC</t>
        </is>
      </c>
      <c r="C17" s="25" t="inlineStr">
        <is>
          <t>G3S-C2OCC2EZ-00</t>
        </is>
      </c>
      <c r="D17" s="26" t="inlineStr">
        <is>
          <t>0</t>
        </is>
      </c>
      <c r="E17" s="27">
        <f>IFERROR(VLOOKUP(D17,BandLegend,2,FALSE),"")</f>
        <v/>
      </c>
      <c r="F17" s="36" t="inlineStr">
        <is>
          <t>compact</t>
        </is>
      </c>
      <c r="G17" s="24" t="inlineStr">
        <is>
          <t>G34c/G32c/G38c</t>
        </is>
      </c>
      <c r="H17" s="26" t="inlineStr">
        <is>
          <t>R6.0</t>
        </is>
      </c>
      <c r="I17" s="26" t="inlineStr"/>
      <c r="J17" s="26" t="inlineStr"/>
      <c r="K17" s="26" t="n">
        <v>1</v>
      </c>
      <c r="L17" s="21" t="inlineStr">
        <is>
          <t>Yes</t>
        </is>
      </c>
      <c r="M17" s="26" t="inlineStr"/>
      <c r="N17" s="26" t="inlineStr"/>
      <c r="O17" s="29" t="inlineStr"/>
      <c r="P17" s="28" t="n">
        <v>15</v>
      </c>
      <c r="Q17" s="28" t="n">
        <v>20</v>
      </c>
      <c r="R17" s="26" t="n">
        <v>20</v>
      </c>
      <c r="S17" s="29" t="inlineStr">
        <is>
          <t>exact</t>
        </is>
      </c>
      <c r="T17" s="30" t="inlineStr">
        <is>
          <t>Yes</t>
        </is>
      </c>
      <c r="U17" s="8" t="inlineStr">
        <is>
          <t>Compact-chassis OCC</t>
        </is>
      </c>
    </row>
    <row r="18" ht="22" customHeight="1">
      <c r="A18" s="14" t="inlineStr">
        <is>
          <t>TERMINATION NODE — ROADM (full-chassis, G/H prefix)</t>
        </is>
      </c>
    </row>
    <row r="19" ht="22" customHeight="1">
      <c r="A19" s="5" t="inlineStr">
        <is>
          <t>Term</t>
        </is>
      </c>
      <c r="B19" s="15" t="inlineStr">
        <is>
          <t>ROADM</t>
        </is>
      </c>
      <c r="C19" s="16" t="inlineStr">
        <is>
          <t>G3S-G2RD09SM-N1</t>
        </is>
      </c>
      <c r="D19" s="17" t="inlineStr">
        <is>
          <t>N</t>
        </is>
      </c>
      <c r="E19" s="18">
        <f>IFERROR(VLOOKUP(D19,BandLegend,2,FALSE),"")</f>
        <v/>
      </c>
      <c r="F19" s="19" t="inlineStr">
        <is>
          <t>full</t>
        </is>
      </c>
      <c r="G19" s="15" t="inlineStr">
        <is>
          <t>G31/G32/G32E</t>
        </is>
      </c>
      <c r="H19" s="17" t="inlineStr">
        <is>
          <t>R6.0</t>
        </is>
      </c>
      <c r="I19" s="17" t="inlineStr"/>
      <c r="J19" s="17" t="inlineStr"/>
      <c r="K19" s="17" t="n">
        <v>1</v>
      </c>
      <c r="L19" s="21" t="inlineStr">
        <is>
          <t>Yes</t>
        </is>
      </c>
      <c r="M19" s="20" t="n">
        <v>9</v>
      </c>
      <c r="N19" s="17" t="inlineStr"/>
      <c r="O19" s="22" t="inlineStr">
        <is>
          <t>EDFA</t>
        </is>
      </c>
      <c r="P19" s="20" t="n">
        <v>80</v>
      </c>
      <c r="Q19" s="20" t="n">
        <v>100</v>
      </c>
      <c r="R19" s="17" t="n">
        <v>100</v>
      </c>
      <c r="S19" s="22" t="inlineStr">
        <is>
          <t>exact</t>
        </is>
      </c>
      <c r="T19" s="23" t="inlineStr">
        <is>
          <t>No</t>
        </is>
      </c>
      <c r="U19" s="6" t="inlineStr">
        <is>
          <t>9-deg ROADM std C</t>
        </is>
      </c>
    </row>
    <row r="20" ht="22" customHeight="1">
      <c r="A20" s="7" t="inlineStr">
        <is>
          <t>Term</t>
        </is>
      </c>
      <c r="B20" s="24" t="inlineStr">
        <is>
          <t>ROADM</t>
        </is>
      </c>
      <c r="C20" s="25" t="inlineStr">
        <is>
          <t>G3S-G2RD20TM-N0</t>
        </is>
      </c>
      <c r="D20" s="26" t="inlineStr">
        <is>
          <t>N</t>
        </is>
      </c>
      <c r="E20" s="27">
        <f>IFERROR(VLOOKUP(D20,BandLegend,2,FALSE),"")</f>
        <v/>
      </c>
      <c r="F20" s="19" t="inlineStr">
        <is>
          <t>full</t>
        </is>
      </c>
      <c r="G20" s="24" t="inlineStr">
        <is>
          <t>G31/G32/G32E</t>
        </is>
      </c>
      <c r="H20" s="26" t="inlineStr">
        <is>
          <t>R6.0</t>
        </is>
      </c>
      <c r="I20" s="26" t="inlineStr"/>
      <c r="J20" s="26" t="inlineStr"/>
      <c r="K20" s="26" t="n">
        <v>1</v>
      </c>
      <c r="L20" s="21" t="inlineStr">
        <is>
          <t>Yes</t>
        </is>
      </c>
      <c r="M20" s="28" t="n">
        <v>20</v>
      </c>
      <c r="N20" s="26" t="inlineStr"/>
      <c r="O20" s="29" t="inlineStr">
        <is>
          <t>EDFA</t>
        </is>
      </c>
      <c r="P20" s="28" t="n">
        <v>70</v>
      </c>
      <c r="Q20" s="28" t="n">
        <v>100</v>
      </c>
      <c r="R20" s="26" t="n">
        <v>100</v>
      </c>
      <c r="S20" s="29" t="inlineStr">
        <is>
          <t>exact</t>
        </is>
      </c>
      <c r="T20" s="23" t="inlineStr">
        <is>
          <t>No</t>
        </is>
      </c>
      <c r="U20" s="8" t="inlineStr">
        <is>
          <t>20-deg ROADM std C</t>
        </is>
      </c>
    </row>
    <row r="21" ht="22" customHeight="1">
      <c r="A21" s="5" t="inlineStr">
        <is>
          <t>Term</t>
        </is>
      </c>
      <c r="B21" s="15" t="inlineStr">
        <is>
          <t>ROADM</t>
        </is>
      </c>
      <c r="C21" s="16" t="inlineStr">
        <is>
          <t>G3S-G3RD32TH-X0</t>
        </is>
      </c>
      <c r="D21" s="17" t="inlineStr">
        <is>
          <t>X</t>
        </is>
      </c>
      <c r="E21" s="18">
        <f>IFERROR(VLOOKUP(D21,BandLegend,2,FALSE),"")</f>
        <v/>
      </c>
      <c r="F21" s="19" t="inlineStr">
        <is>
          <t>full</t>
        </is>
      </c>
      <c r="G21" s="15" t="inlineStr">
        <is>
          <t>G31/G32/G32E</t>
        </is>
      </c>
      <c r="H21" s="17" t="inlineStr">
        <is>
          <t>R7.0</t>
        </is>
      </c>
      <c r="I21" s="17" t="inlineStr"/>
      <c r="J21" s="17" t="inlineStr"/>
      <c r="K21" s="17" t="n">
        <v>1</v>
      </c>
      <c r="L21" s="21" t="inlineStr">
        <is>
          <t>Yes</t>
        </is>
      </c>
      <c r="M21" s="20" t="n">
        <v>32</v>
      </c>
      <c r="N21" s="17" t="inlineStr"/>
      <c r="O21" s="22" t="inlineStr"/>
      <c r="P21" s="20" t="n">
        <v>93</v>
      </c>
      <c r="Q21" s="20" t="n">
        <v>130</v>
      </c>
      <c r="R21" s="17" t="n">
        <v>130</v>
      </c>
      <c r="S21" s="22" t="inlineStr">
        <is>
          <t>exact</t>
        </is>
      </c>
      <c r="T21" s="30" t="inlineStr">
        <is>
          <t>Yes</t>
        </is>
      </c>
      <c r="U21" s="6" t="inlineStr">
        <is>
          <t>32-deg Super C upg</t>
        </is>
      </c>
    </row>
    <row r="22" ht="22" customHeight="1">
      <c r="A22" s="7" t="inlineStr">
        <is>
          <t>Term</t>
        </is>
      </c>
      <c r="B22" s="24" t="inlineStr">
        <is>
          <t>ROADM</t>
        </is>
      </c>
      <c r="C22" s="25" t="inlineStr">
        <is>
          <t>G3S-G3RD32TH-L0</t>
        </is>
      </c>
      <c r="D22" s="26" t="inlineStr">
        <is>
          <t>L</t>
        </is>
      </c>
      <c r="E22" s="27">
        <f>IFERROR(VLOOKUP(D22,BandLegend,2,FALSE),"")</f>
        <v/>
      </c>
      <c r="F22" s="19" t="inlineStr">
        <is>
          <t>full</t>
        </is>
      </c>
      <c r="G22" s="24" t="inlineStr">
        <is>
          <t>G31/G32/G32E</t>
        </is>
      </c>
      <c r="H22" s="26" t="inlineStr">
        <is>
          <t>R10.0</t>
        </is>
      </c>
      <c r="I22" s="26" t="inlineStr"/>
      <c r="J22" s="26" t="inlineStr"/>
      <c r="K22" s="26" t="n">
        <v>1</v>
      </c>
      <c r="L22" s="21" t="inlineStr">
        <is>
          <t>Yes</t>
        </is>
      </c>
      <c r="M22" s="28" t="n">
        <v>32</v>
      </c>
      <c r="N22" s="26" t="inlineStr"/>
      <c r="O22" s="29" t="inlineStr"/>
      <c r="P22" s="28" t="n">
        <v>93</v>
      </c>
      <c r="Q22" s="28" t="n">
        <v>130</v>
      </c>
      <c r="R22" s="26" t="n">
        <v>130</v>
      </c>
      <c r="S22" s="29" t="inlineStr">
        <is>
          <t>variant</t>
        </is>
      </c>
      <c r="T22" s="30" t="inlineStr">
        <is>
          <t>Yes</t>
        </is>
      </c>
      <c r="U22" s="8" t="inlineStr">
        <is>
          <t>32-deg L-band · pw: L-band variant</t>
        </is>
      </c>
    </row>
    <row r="23" ht="22" customHeight="1">
      <c r="A23" s="5" t="inlineStr">
        <is>
          <t>Term</t>
        </is>
      </c>
      <c r="B23" s="15" t="inlineStr">
        <is>
          <t>ROADM</t>
        </is>
      </c>
      <c r="C23" s="16" t="inlineStr">
        <is>
          <t>RD66Tx-Z0</t>
        </is>
      </c>
      <c r="D23" s="17" t="inlineStr">
        <is>
          <t>Z</t>
        </is>
      </c>
      <c r="E23" s="18">
        <f>IFERROR(VLOOKUP(D23,BandLegend,2,FALSE),"")</f>
        <v/>
      </c>
      <c r="F23" s="19" t="inlineStr">
        <is>
          <t>full</t>
        </is>
      </c>
      <c r="G23" s="15" t="inlineStr">
        <is>
          <t>G31/G32/G32E</t>
        </is>
      </c>
      <c r="H23" s="17" t="inlineStr">
        <is>
          <t>R8.1</t>
        </is>
      </c>
      <c r="I23" s="17" t="inlineStr"/>
      <c r="J23" s="17" t="inlineStr"/>
      <c r="K23" s="17" t="n">
        <v>1</v>
      </c>
      <c r="L23" s="21" t="inlineStr">
        <is>
          <t>Yes</t>
        </is>
      </c>
      <c r="M23" s="20" t="n">
        <v>66</v>
      </c>
      <c r="N23" s="17" t="inlineStr"/>
      <c r="O23" s="22" t="inlineStr">
        <is>
          <t>EDFA</t>
        </is>
      </c>
      <c r="P23" s="20" t="n">
        <v>185</v>
      </c>
      <c r="Q23" s="20" t="n">
        <v>255</v>
      </c>
      <c r="R23" s="17" t="n">
        <v>255</v>
      </c>
      <c r="S23" s="22" t="inlineStr">
        <is>
          <t>variant</t>
        </is>
      </c>
      <c r="T23" s="30" t="inlineStr">
        <is>
          <t>Yes</t>
        </is>
      </c>
      <c r="U23" s="6" t="inlineStr">
        <is>
          <t>66-deg C+L · pw: same as H3RD66TM</t>
        </is>
      </c>
    </row>
    <row r="24" ht="22" customHeight="1">
      <c r="A24" s="7" t="inlineStr">
        <is>
          <t>Term</t>
        </is>
      </c>
      <c r="B24" s="24" t="inlineStr">
        <is>
          <t>ROADM</t>
        </is>
      </c>
      <c r="C24" s="25" t="inlineStr">
        <is>
          <t>G3S-H3RD66TM-Z0</t>
        </is>
      </c>
      <c r="D24" s="26" t="inlineStr">
        <is>
          <t>Z</t>
        </is>
      </c>
      <c r="E24" s="27">
        <f>IFERROR(VLOOKUP(D24,BandLegend,2,FALSE),"")</f>
        <v/>
      </c>
      <c r="F24" s="19" t="inlineStr">
        <is>
          <t>full</t>
        </is>
      </c>
      <c r="G24" s="24" t="inlineStr">
        <is>
          <t>G31/G32/G32E</t>
        </is>
      </c>
      <c r="H24" s="26" t="inlineStr">
        <is>
          <t>R8.1</t>
        </is>
      </c>
      <c r="I24" s="26" t="inlineStr"/>
      <c r="J24" s="26" t="inlineStr"/>
      <c r="K24" s="26" t="n">
        <v>1</v>
      </c>
      <c r="L24" s="21" t="inlineStr">
        <is>
          <t>Yes</t>
        </is>
      </c>
      <c r="M24" s="28" t="n">
        <v>66</v>
      </c>
      <c r="N24" s="26" t="inlineStr"/>
      <c r="O24" s="29" t="inlineStr"/>
      <c r="P24" s="28" t="n">
        <v>185</v>
      </c>
      <c r="Q24" s="28" t="n">
        <v>255</v>
      </c>
      <c r="R24" s="26" t="n">
        <v>255</v>
      </c>
      <c r="S24" s="29" t="inlineStr">
        <is>
          <t>exact</t>
        </is>
      </c>
      <c r="T24" s="30" t="inlineStr">
        <is>
          <t>Yes</t>
        </is>
      </c>
      <c r="U24" s="8" t="inlineStr">
        <is>
          <t>66-deg C+L (default HS) · pw: 66-deg C+L</t>
        </is>
      </c>
    </row>
    <row r="25" ht="22" customHeight="1">
      <c r="A25" s="5" t="inlineStr">
        <is>
          <t>Term</t>
        </is>
      </c>
      <c r="B25" s="15" t="inlineStr">
        <is>
          <t>ROADM</t>
        </is>
      </c>
      <c r="C25" s="16" t="inlineStr">
        <is>
          <t>G3S-H3RD66TH-Z0</t>
        </is>
      </c>
      <c r="D25" s="17" t="inlineStr">
        <is>
          <t>Z</t>
        </is>
      </c>
      <c r="E25" s="18">
        <f>IFERROR(VLOOKUP(D25,BandLegend,2,FALSE),"")</f>
        <v/>
      </c>
      <c r="F25" s="19" t="inlineStr">
        <is>
          <t>full</t>
        </is>
      </c>
      <c r="G25" s="15" t="inlineStr">
        <is>
          <t>G31/G32/G32E</t>
        </is>
      </c>
      <c r="H25" s="17" t="inlineStr">
        <is>
          <t>R9.0</t>
        </is>
      </c>
      <c r="I25" s="17" t="inlineStr"/>
      <c r="J25" s="17" t="inlineStr"/>
      <c r="K25" s="17" t="n">
        <v>1</v>
      </c>
      <c r="L25" s="21" t="inlineStr">
        <is>
          <t>Yes</t>
        </is>
      </c>
      <c r="M25" s="20" t="n">
        <v>66</v>
      </c>
      <c r="N25" s="17" t="inlineStr"/>
      <c r="O25" s="22" t="inlineStr"/>
      <c r="P25" s="20" t="n">
        <v>185</v>
      </c>
      <c r="Q25" s="20" t="n">
        <v>255</v>
      </c>
      <c r="R25" s="17" t="n">
        <v>255</v>
      </c>
      <c r="S25" s="22" t="inlineStr">
        <is>
          <t>variant</t>
        </is>
      </c>
      <c r="T25" s="30" t="inlineStr">
        <is>
          <t>Yes</t>
        </is>
      </c>
      <c r="U25" s="6" t="inlineStr">
        <is>
          <t>66-deg HD C+L · pw: TH high-density</t>
        </is>
      </c>
    </row>
    <row r="26" ht="22" customHeight="1">
      <c r="A26" s="14" t="inlineStr">
        <is>
          <t>TERMINATION NODE — CAD/CDC mux (HS no need)</t>
        </is>
      </c>
    </row>
    <row r="27" ht="22" customHeight="1">
      <c r="A27" s="5" t="inlineStr">
        <is>
          <t>Term</t>
        </is>
      </c>
      <c r="B27" s="15" t="inlineStr">
        <is>
          <t>CAD-CDC</t>
        </is>
      </c>
      <c r="C27" s="16" t="inlineStr">
        <is>
          <t>G3S-G1CAD10A-W0</t>
        </is>
      </c>
      <c r="D27" s="17" t="inlineStr">
        <is>
          <t>W</t>
        </is>
      </c>
      <c r="E27" s="18">
        <f>IFERROR(VLOOKUP(D27,BandLegend,2,FALSE),"")</f>
        <v/>
      </c>
      <c r="F27" s="19" t="inlineStr">
        <is>
          <t>full</t>
        </is>
      </c>
      <c r="G27" s="15" t="inlineStr">
        <is>
          <t>G31/G32/G32E</t>
        </is>
      </c>
      <c r="H27" s="17" t="inlineStr">
        <is>
          <t>R6.0</t>
        </is>
      </c>
      <c r="I27" s="17" t="inlineStr"/>
      <c r="J27" s="17" t="inlineStr"/>
      <c r="K27" s="17" t="n">
        <v>1</v>
      </c>
      <c r="L27" s="21" t="inlineStr">
        <is>
          <t>Yes</t>
        </is>
      </c>
      <c r="M27" s="17" t="inlineStr"/>
      <c r="N27" s="17" t="inlineStr"/>
      <c r="O27" s="22" t="inlineStr"/>
      <c r="P27" s="20" t="n">
        <v>24</v>
      </c>
      <c r="Q27" s="20" t="n">
        <v>30</v>
      </c>
      <c r="R27" s="17" t="n">
        <v>30</v>
      </c>
      <c r="S27" s="22" t="inlineStr">
        <is>
          <t>exact</t>
        </is>
      </c>
      <c r="T27" s="30" t="inlineStr">
        <is>
          <t>Yes</t>
        </is>
      </c>
      <c r="U27" s="6" t="inlineStr">
        <is>
          <t>10-port CAD Super C</t>
        </is>
      </c>
    </row>
    <row r="28" ht="22" customHeight="1">
      <c r="A28" s="7" t="inlineStr">
        <is>
          <t>Term</t>
        </is>
      </c>
      <c r="B28" s="24" t="inlineStr">
        <is>
          <t>CAD-CDC</t>
        </is>
      </c>
      <c r="C28" s="25" t="inlineStr">
        <is>
          <t>G3S-G1CAD10A-L0</t>
        </is>
      </c>
      <c r="D28" s="26" t="inlineStr">
        <is>
          <t>L</t>
        </is>
      </c>
      <c r="E28" s="27">
        <f>IFERROR(VLOOKUP(D28,BandLegend,2,FALSE),"")</f>
        <v/>
      </c>
      <c r="F28" s="19" t="inlineStr">
        <is>
          <t>full</t>
        </is>
      </c>
      <c r="G28" s="24" t="inlineStr">
        <is>
          <t>G31/G32/G32E</t>
        </is>
      </c>
      <c r="H28" s="26" t="inlineStr">
        <is>
          <t>TBD</t>
        </is>
      </c>
      <c r="I28" s="26" t="inlineStr"/>
      <c r="J28" s="26" t="inlineStr"/>
      <c r="K28" s="26" t="n">
        <v>1</v>
      </c>
      <c r="L28" s="21" t="inlineStr">
        <is>
          <t>Yes</t>
        </is>
      </c>
      <c r="M28" s="26" t="inlineStr"/>
      <c r="N28" s="26" t="inlineStr"/>
      <c r="O28" s="29" t="inlineStr"/>
      <c r="P28" s="28" t="n">
        <v>24</v>
      </c>
      <c r="Q28" s="28" t="n">
        <v>30</v>
      </c>
      <c r="R28" s="26" t="n">
        <v>30</v>
      </c>
      <c r="S28" s="29" t="inlineStr">
        <is>
          <t>variant</t>
        </is>
      </c>
      <c r="T28" s="30" t="inlineStr">
        <is>
          <t>Yes</t>
        </is>
      </c>
      <c r="U28" s="8" t="inlineStr">
        <is>
          <t>10-port CAD L · pw: L-band</t>
        </is>
      </c>
    </row>
    <row r="29" ht="22" customHeight="1">
      <c r="A29" s="5" t="inlineStr">
        <is>
          <t>Term</t>
        </is>
      </c>
      <c r="B29" s="15" t="inlineStr">
        <is>
          <t>CAD-CDC</t>
        </is>
      </c>
      <c r="C29" s="16" t="inlineStr">
        <is>
          <t>G3S-G1CDC8D6-Y0</t>
        </is>
      </c>
      <c r="D29" s="17" t="inlineStr">
        <is>
          <t>Y</t>
        </is>
      </c>
      <c r="E29" s="18">
        <f>IFERROR(VLOOKUP(D29,BandLegend,2,FALSE),"")</f>
        <v/>
      </c>
      <c r="F29" s="19" t="inlineStr">
        <is>
          <t>full</t>
        </is>
      </c>
      <c r="G29" s="15" t="inlineStr">
        <is>
          <t>G31/G32/G32E</t>
        </is>
      </c>
      <c r="H29" s="17" t="inlineStr">
        <is>
          <t>R6.0</t>
        </is>
      </c>
      <c r="I29" s="17" t="inlineStr"/>
      <c r="J29" s="17" t="inlineStr"/>
      <c r="K29" s="17" t="n">
        <v>1</v>
      </c>
      <c r="L29" s="21" t="inlineStr">
        <is>
          <t>Yes</t>
        </is>
      </c>
      <c r="M29" s="17" t="inlineStr"/>
      <c r="N29" s="17" t="inlineStr"/>
      <c r="O29" s="22" t="inlineStr"/>
      <c r="P29" s="20" t="n">
        <v>8.9</v>
      </c>
      <c r="Q29" s="20" t="n">
        <v>9.6</v>
      </c>
      <c r="R29" s="17" t="n">
        <v>9.6</v>
      </c>
      <c r="S29" s="22" t="inlineStr">
        <is>
          <t>exact</t>
        </is>
      </c>
      <c r="T29" s="23" t="inlineStr">
        <is>
          <t>No - HS no need CDC</t>
        </is>
      </c>
      <c r="U29" s="6" t="inlineStr"/>
    </row>
    <row r="30" ht="22" customHeight="1">
      <c r="A30" s="7" t="inlineStr">
        <is>
          <t>Term</t>
        </is>
      </c>
      <c r="B30" s="24" t="inlineStr">
        <is>
          <t>CAD-CDC</t>
        </is>
      </c>
      <c r="C30" s="25" t="inlineStr">
        <is>
          <t>G3S-G2CD34ZZ-Y0</t>
        </is>
      </c>
      <c r="D30" s="26" t="inlineStr">
        <is>
          <t>Y</t>
        </is>
      </c>
      <c r="E30" s="27">
        <f>IFERROR(VLOOKUP(D30,BandLegend,2,FALSE),"")</f>
        <v/>
      </c>
      <c r="F30" s="19" t="inlineStr">
        <is>
          <t>full</t>
        </is>
      </c>
      <c r="G30" s="24" t="inlineStr">
        <is>
          <t>G31/G32/G32E</t>
        </is>
      </c>
      <c r="H30" s="26" t="inlineStr">
        <is>
          <t>TBD</t>
        </is>
      </c>
      <c r="I30" s="26" t="inlineStr"/>
      <c r="J30" s="26" t="inlineStr"/>
      <c r="K30" s="26" t="n">
        <v>1</v>
      </c>
      <c r="L30" s="21" t="inlineStr">
        <is>
          <t>Yes</t>
        </is>
      </c>
      <c r="M30" s="26" t="inlineStr"/>
      <c r="N30" s="26" t="inlineStr"/>
      <c r="O30" s="29" t="inlineStr"/>
      <c r="P30" s="31" t="n">
        <v>10</v>
      </c>
      <c r="Q30" s="31" t="n">
        <v>12</v>
      </c>
      <c r="R30" s="32" t="n">
        <v>12</v>
      </c>
      <c r="S30" s="29" t="inlineStr">
        <is>
          <t>estimate</t>
        </is>
      </c>
      <c r="T30" s="23" t="inlineStr">
        <is>
          <t>No - HS no need CDC</t>
        </is>
      </c>
      <c r="U30" s="8" t="inlineStr">
        <is>
          <t xml:space="preserve"> · pw: newer CDC est</t>
        </is>
      </c>
    </row>
    <row r="31" ht="22" customHeight="1">
      <c r="A31" s="14" t="inlineStr">
        <is>
          <t>TERMINATION NODE — Amps/Boosters (full chassis)</t>
        </is>
      </c>
    </row>
    <row r="32" ht="22" customHeight="1">
      <c r="A32" s="5" t="inlineStr">
        <is>
          <t>Term</t>
        </is>
      </c>
      <c r="B32" s="15" t="inlineStr">
        <is>
          <t>EDFA booster</t>
        </is>
      </c>
      <c r="C32" s="16" t="inlineStr">
        <is>
          <t>G3S-G2PBALZZ-N0</t>
        </is>
      </c>
      <c r="D32" s="17" t="inlineStr">
        <is>
          <t>N</t>
        </is>
      </c>
      <c r="E32" s="18">
        <f>IFERROR(VLOOKUP(D32,BandLegend,2,FALSE),"")</f>
        <v/>
      </c>
      <c r="F32" s="19" t="inlineStr">
        <is>
          <t>full</t>
        </is>
      </c>
      <c r="G32" s="15" t="inlineStr">
        <is>
          <t>G31/G32/G32E</t>
        </is>
      </c>
      <c r="H32" s="17" t="inlineStr">
        <is>
          <t>R9.1</t>
        </is>
      </c>
      <c r="I32" s="17" t="inlineStr"/>
      <c r="J32" s="17" t="inlineStr"/>
      <c r="K32" s="17" t="n">
        <v>1</v>
      </c>
      <c r="L32" s="21" t="inlineStr">
        <is>
          <t>Yes</t>
        </is>
      </c>
      <c r="M32" s="17" t="inlineStr"/>
      <c r="N32" s="17" t="inlineStr"/>
      <c r="O32" s="22" t="inlineStr">
        <is>
          <t>EDFA</t>
        </is>
      </c>
      <c r="P32" s="31" t="n">
        <v>33</v>
      </c>
      <c r="Q32" s="31" t="n">
        <v>80</v>
      </c>
      <c r="R32" s="32" t="n">
        <v>80</v>
      </c>
      <c r="S32" s="22" t="inlineStr">
        <is>
          <t>estimate</t>
        </is>
      </c>
      <c r="T32" s="30" t="inlineStr">
        <is>
          <t>Yes</t>
        </is>
      </c>
      <c r="U32" s="6" t="inlineStr">
        <is>
          <t>EDFA std C · pw: PBAL ~ RPBM-W0</t>
        </is>
      </c>
    </row>
    <row r="33" ht="22" customHeight="1">
      <c r="A33" s="7" t="inlineStr">
        <is>
          <t>Term</t>
        </is>
      </c>
      <c r="B33" s="24" t="inlineStr">
        <is>
          <t>Raman booster</t>
        </is>
      </c>
      <c r="C33" s="25" t="inlineStr">
        <is>
          <t>G3S-G1RPBMZZ-W0</t>
        </is>
      </c>
      <c r="D33" s="26" t="inlineStr">
        <is>
          <t>W</t>
        </is>
      </c>
      <c r="E33" s="27">
        <f>IFERROR(VLOOKUP(D33,BandLegend,2,FALSE),"")</f>
        <v/>
      </c>
      <c r="F33" s="19" t="inlineStr">
        <is>
          <t>full</t>
        </is>
      </c>
      <c r="G33" s="24" t="inlineStr">
        <is>
          <t>G31/G32/G32E</t>
        </is>
      </c>
      <c r="H33" s="26" t="inlineStr">
        <is>
          <t>R6.0</t>
        </is>
      </c>
      <c r="I33" s="26" t="inlineStr"/>
      <c r="J33" s="26" t="inlineStr"/>
      <c r="K33" s="26" t="n">
        <v>1</v>
      </c>
      <c r="L33" s="21" t="inlineStr">
        <is>
          <t>Yes</t>
        </is>
      </c>
      <c r="M33" s="26" t="inlineStr"/>
      <c r="N33" s="26" t="inlineStr"/>
      <c r="O33" s="29" t="inlineStr">
        <is>
          <t>Raman</t>
        </is>
      </c>
      <c r="P33" s="28" t="n">
        <v>33</v>
      </c>
      <c r="Q33" s="28" t="n">
        <v>80</v>
      </c>
      <c r="R33" s="26" t="n">
        <v>80</v>
      </c>
      <c r="S33" s="29" t="inlineStr">
        <is>
          <t>exact</t>
        </is>
      </c>
      <c r="T33" s="30" t="inlineStr">
        <is>
          <t>Yes</t>
        </is>
      </c>
      <c r="U33" s="8" t="inlineStr">
        <is>
          <t>Raman v0 (Super C)</t>
        </is>
      </c>
    </row>
    <row r="34" ht="22" customHeight="1">
      <c r="A34" s="5" t="inlineStr">
        <is>
          <t>Term</t>
        </is>
      </c>
      <c r="B34" s="15" t="inlineStr">
        <is>
          <t>Raman booster</t>
        </is>
      </c>
      <c r="C34" s="16" t="inlineStr">
        <is>
          <t>G3S-G1RPBMZZ-W1</t>
        </is>
      </c>
      <c r="D34" s="17" t="inlineStr">
        <is>
          <t>W</t>
        </is>
      </c>
      <c r="E34" s="18">
        <f>IFERROR(VLOOKUP(D34,BandLegend,2,FALSE),"")</f>
        <v/>
      </c>
      <c r="F34" s="19" t="inlineStr">
        <is>
          <t>full</t>
        </is>
      </c>
      <c r="G34" s="15" t="inlineStr">
        <is>
          <t>G31/G32/G32E</t>
        </is>
      </c>
      <c r="H34" s="17" t="inlineStr">
        <is>
          <t>R7.2</t>
        </is>
      </c>
      <c r="I34" s="17" t="inlineStr"/>
      <c r="J34" s="17" t="inlineStr"/>
      <c r="K34" s="17" t="n">
        <v>1</v>
      </c>
      <c r="L34" s="21" t="inlineStr">
        <is>
          <t>Yes</t>
        </is>
      </c>
      <c r="M34" s="17" t="inlineStr"/>
      <c r="N34" s="17" t="inlineStr"/>
      <c r="O34" s="22" t="inlineStr">
        <is>
          <t>Raman</t>
        </is>
      </c>
      <c r="P34" s="20" t="n">
        <v>33</v>
      </c>
      <c r="Q34" s="20" t="n">
        <v>80</v>
      </c>
      <c r="R34" s="17" t="n">
        <v>80</v>
      </c>
      <c r="S34" s="22" t="inlineStr">
        <is>
          <t>variant</t>
        </is>
      </c>
      <c r="T34" s="30" t="inlineStr">
        <is>
          <t>Yes</t>
        </is>
      </c>
      <c r="U34" s="6" t="inlineStr">
        <is>
          <t>Raman v1 (Super C) · pw: same as -W0</t>
        </is>
      </c>
    </row>
    <row r="35" ht="22" customHeight="1">
      <c r="A35" s="7" t="inlineStr">
        <is>
          <t>Term</t>
        </is>
      </c>
      <c r="B35" s="24" t="inlineStr">
        <is>
          <t>Raman booster</t>
        </is>
      </c>
      <c r="C35" s="25" t="inlineStr">
        <is>
          <t>G3S-G1RPBMZZ-W2</t>
        </is>
      </c>
      <c r="D35" s="26" t="inlineStr">
        <is>
          <t>W</t>
        </is>
      </c>
      <c r="E35" s="27">
        <f>IFERROR(VLOOKUP(D35,BandLegend,2,FALSE),"")</f>
        <v/>
      </c>
      <c r="F35" s="19" t="inlineStr">
        <is>
          <t>full</t>
        </is>
      </c>
      <c r="G35" s="24" t="inlineStr">
        <is>
          <t>G31/G32/G32E</t>
        </is>
      </c>
      <c r="H35" s="26" t="inlineStr">
        <is>
          <t>R9.0</t>
        </is>
      </c>
      <c r="I35" s="26" t="inlineStr"/>
      <c r="J35" s="26" t="inlineStr"/>
      <c r="K35" s="26" t="n">
        <v>1</v>
      </c>
      <c r="L35" s="21" t="inlineStr">
        <is>
          <t>Yes</t>
        </is>
      </c>
      <c r="M35" s="26" t="inlineStr"/>
      <c r="N35" s="26" t="inlineStr"/>
      <c r="O35" s="29" t="inlineStr">
        <is>
          <t>Raman</t>
        </is>
      </c>
      <c r="P35" s="28" t="n">
        <v>33</v>
      </c>
      <c r="Q35" s="28" t="n">
        <v>80</v>
      </c>
      <c r="R35" s="26" t="n">
        <v>80</v>
      </c>
      <c r="S35" s="29" t="inlineStr">
        <is>
          <t>variant</t>
        </is>
      </c>
      <c r="T35" s="30" t="inlineStr">
        <is>
          <t>Yes</t>
        </is>
      </c>
      <c r="U35" s="8" t="inlineStr">
        <is>
          <t>Raman v2 (Super C) HS default · pw: same as -W0</t>
        </is>
      </c>
    </row>
    <row r="36" ht="22" customHeight="1">
      <c r="A36" s="5" t="inlineStr">
        <is>
          <t>Term</t>
        </is>
      </c>
      <c r="B36" s="15" t="inlineStr">
        <is>
          <t>Raman booster</t>
        </is>
      </c>
      <c r="C36" s="16" t="inlineStr">
        <is>
          <t>G3S-G1RPBMZZ-Y0</t>
        </is>
      </c>
      <c r="D36" s="17" t="inlineStr">
        <is>
          <t>Y</t>
        </is>
      </c>
      <c r="E36" s="18">
        <f>IFERROR(VLOOKUP(D36,BandLegend,2,FALSE),"")</f>
        <v/>
      </c>
      <c r="F36" s="19" t="inlineStr">
        <is>
          <t>full</t>
        </is>
      </c>
      <c r="G36" s="15" t="inlineStr">
        <is>
          <t>G31/G32/G32E</t>
        </is>
      </c>
      <c r="H36" s="17" t="inlineStr">
        <is>
          <t>R7.1</t>
        </is>
      </c>
      <c r="I36" s="17" t="inlineStr"/>
      <c r="J36" s="17" t="inlineStr"/>
      <c r="K36" s="17" t="n">
        <v>1</v>
      </c>
      <c r="L36" s="21" t="inlineStr">
        <is>
          <t>Yes</t>
        </is>
      </c>
      <c r="M36" s="17" t="inlineStr"/>
      <c r="N36" s="17" t="inlineStr"/>
      <c r="O36" s="22" t="inlineStr">
        <is>
          <t>Raman</t>
        </is>
      </c>
      <c r="P36" s="20" t="n">
        <v>35</v>
      </c>
      <c r="Q36" s="20" t="n">
        <v>80</v>
      </c>
      <c r="R36" s="17" t="n">
        <v>80</v>
      </c>
      <c r="S36" s="22" t="inlineStr">
        <is>
          <t>exact</t>
        </is>
      </c>
      <c r="T36" s="30" t="inlineStr">
        <is>
          <t>Yes</t>
        </is>
      </c>
      <c r="U36" s="6" t="inlineStr">
        <is>
          <t>Raman (Super C+L) v0</t>
        </is>
      </c>
    </row>
    <row r="37" ht="22" customHeight="1">
      <c r="A37" s="7" t="inlineStr">
        <is>
          <t>Term</t>
        </is>
      </c>
      <c r="B37" s="24" t="inlineStr">
        <is>
          <t>Raman booster</t>
        </is>
      </c>
      <c r="C37" s="25" t="inlineStr">
        <is>
          <t>G3S-G1RPBMZZ-Y1</t>
        </is>
      </c>
      <c r="D37" s="26" t="inlineStr">
        <is>
          <t>Y</t>
        </is>
      </c>
      <c r="E37" s="27">
        <f>IFERROR(VLOOKUP(D37,BandLegend,2,FALSE),"")</f>
        <v/>
      </c>
      <c r="F37" s="19" t="inlineStr">
        <is>
          <t>full</t>
        </is>
      </c>
      <c r="G37" s="24" t="inlineStr">
        <is>
          <t>G31/G32/G32E</t>
        </is>
      </c>
      <c r="H37" s="26" t="inlineStr">
        <is>
          <t>R7.2</t>
        </is>
      </c>
      <c r="I37" s="26" t="inlineStr"/>
      <c r="J37" s="26" t="inlineStr"/>
      <c r="K37" s="26" t="n">
        <v>1</v>
      </c>
      <c r="L37" s="21" t="inlineStr">
        <is>
          <t>Yes</t>
        </is>
      </c>
      <c r="M37" s="26" t="inlineStr"/>
      <c r="N37" s="26" t="inlineStr"/>
      <c r="O37" s="29" t="inlineStr">
        <is>
          <t>Raman</t>
        </is>
      </c>
      <c r="P37" s="28" t="n">
        <v>35</v>
      </c>
      <c r="Q37" s="28" t="n">
        <v>80</v>
      </c>
      <c r="R37" s="26" t="n">
        <v>80</v>
      </c>
      <c r="S37" s="29" t="inlineStr">
        <is>
          <t>variant</t>
        </is>
      </c>
      <c r="T37" s="30" t="inlineStr">
        <is>
          <t>Yes</t>
        </is>
      </c>
      <c r="U37" s="8" t="inlineStr">
        <is>
          <t>Raman (Super C+L) v1 · pw: same as -Y0</t>
        </is>
      </c>
    </row>
    <row r="38" ht="22" customHeight="1">
      <c r="A38" s="5" t="inlineStr">
        <is>
          <t>Term</t>
        </is>
      </c>
      <c r="B38" s="15" t="inlineStr">
        <is>
          <t>Raman booster</t>
        </is>
      </c>
      <c r="C38" s="16" t="inlineStr">
        <is>
          <t>G3S-G1RPBMZZ-Y2</t>
        </is>
      </c>
      <c r="D38" s="17" t="inlineStr">
        <is>
          <t>Y</t>
        </is>
      </c>
      <c r="E38" s="18">
        <f>IFERROR(VLOOKUP(D38,BandLegend,2,FALSE),"")</f>
        <v/>
      </c>
      <c r="F38" s="19" t="inlineStr">
        <is>
          <t>full</t>
        </is>
      </c>
      <c r="G38" s="15" t="inlineStr">
        <is>
          <t>G31/G32/G32E</t>
        </is>
      </c>
      <c r="H38" s="17" t="inlineStr">
        <is>
          <t>R9.0</t>
        </is>
      </c>
      <c r="I38" s="17" t="inlineStr"/>
      <c r="J38" s="17" t="inlineStr"/>
      <c r="K38" s="17" t="n">
        <v>1</v>
      </c>
      <c r="L38" s="21" t="inlineStr">
        <is>
          <t>Yes</t>
        </is>
      </c>
      <c r="M38" s="17" t="inlineStr"/>
      <c r="N38" s="17" t="inlineStr"/>
      <c r="O38" s="22" t="inlineStr">
        <is>
          <t>Raman</t>
        </is>
      </c>
      <c r="P38" s="20" t="n">
        <v>35</v>
      </c>
      <c r="Q38" s="20" t="n">
        <v>80</v>
      </c>
      <c r="R38" s="17" t="n">
        <v>80</v>
      </c>
      <c r="S38" s="22" t="inlineStr">
        <is>
          <t>variant</t>
        </is>
      </c>
      <c r="T38" s="30" t="inlineStr">
        <is>
          <t>Yes</t>
        </is>
      </c>
      <c r="U38" s="6" t="inlineStr">
        <is>
          <t>Raman (Super C+L) v2 · pw: same as -Y0</t>
        </is>
      </c>
    </row>
    <row r="39" ht="22" customHeight="1">
      <c r="A39" s="7" t="inlineStr">
        <is>
          <t>Term</t>
        </is>
      </c>
      <c r="B39" s="24" t="inlineStr">
        <is>
          <t>OTSCH</t>
        </is>
      </c>
      <c r="C39" s="25" t="inlineStr">
        <is>
          <t>G3S-G1OTSCHZ-Y0</t>
        </is>
      </c>
      <c r="D39" s="26" t="inlineStr">
        <is>
          <t>Y</t>
        </is>
      </c>
      <c r="E39" s="27">
        <f>IFERROR(VLOOKUP(D39,BandLegend,2,FALSE),"")</f>
        <v/>
      </c>
      <c r="F39" s="19" t="inlineStr">
        <is>
          <t>full</t>
        </is>
      </c>
      <c r="G39" s="24" t="inlineStr">
        <is>
          <t>G31/G32/G32E</t>
        </is>
      </c>
      <c r="H39" s="26" t="inlineStr">
        <is>
          <t>R9.2 tbc</t>
        </is>
      </c>
      <c r="I39" s="26" t="inlineStr"/>
      <c r="J39" s="26" t="inlineStr"/>
      <c r="K39" s="26" t="n">
        <v>1</v>
      </c>
      <c r="L39" s="21" t="inlineStr">
        <is>
          <t>Yes</t>
        </is>
      </c>
      <c r="M39" s="26" t="inlineStr"/>
      <c r="N39" s="26" t="inlineStr"/>
      <c r="O39" s="29" t="inlineStr"/>
      <c r="P39" s="31" t="n">
        <v>25</v>
      </c>
      <c r="Q39" s="31" t="n">
        <v>40</v>
      </c>
      <c r="R39" s="32" t="n">
        <v>40</v>
      </c>
      <c r="S39" s="29" t="inlineStr">
        <is>
          <t>estimate</t>
        </is>
      </c>
      <c r="T39" s="24" t="inlineStr">
        <is>
          <t>Yes when Super C + Super L</t>
        </is>
      </c>
      <c r="U39" s="8" t="inlineStr">
        <is>
          <t>OTS channel · pw: R9.2 tbc</t>
        </is>
      </c>
    </row>
    <row r="40" ht="22" customHeight="1">
      <c r="A40" s="5" t="inlineStr">
        <is>
          <t>Term</t>
        </is>
      </c>
      <c r="B40" s="15" t="inlineStr">
        <is>
          <t>EDFA booster</t>
        </is>
      </c>
      <c r="C40" s="16" t="inlineStr">
        <is>
          <t>G3S-G4ILA4SM-Z0</t>
        </is>
      </c>
      <c r="D40" s="17" t="inlineStr">
        <is>
          <t>Z</t>
        </is>
      </c>
      <c r="E40" s="18">
        <f>IFERROR(VLOOKUP(D40,BandLegend,2,FALSE),"")</f>
        <v/>
      </c>
      <c r="F40" s="19" t="inlineStr">
        <is>
          <t>full</t>
        </is>
      </c>
      <c r="G40" s="15" t="inlineStr">
        <is>
          <t>G31/G32/G32E</t>
        </is>
      </c>
      <c r="H40" s="17" t="inlineStr">
        <is>
          <t>R9.1</t>
        </is>
      </c>
      <c r="I40" s="17" t="inlineStr"/>
      <c r="J40" s="17" t="inlineStr"/>
      <c r="K40" s="20" t="n">
        <v>4</v>
      </c>
      <c r="L40" s="21" t="inlineStr">
        <is>
          <t>Yes</t>
        </is>
      </c>
      <c r="M40" s="17" t="inlineStr"/>
      <c r="N40" s="17" t="inlineStr"/>
      <c r="O40" s="22" t="inlineStr">
        <is>
          <t>EDFA</t>
        </is>
      </c>
      <c r="P40" s="31" t="n">
        <v>220</v>
      </c>
      <c r="Q40" s="31" t="n">
        <v>360</v>
      </c>
      <c r="R40" s="32" t="n">
        <v>360</v>
      </c>
      <c r="S40" s="22" t="inlineStr">
        <is>
          <t>estimate</t>
        </is>
      </c>
      <c r="T40" s="30" t="inlineStr">
        <is>
          <t>Yes</t>
        </is>
      </c>
      <c r="U40" s="6" t="inlineStr">
        <is>
          <t>4-fiber EDFA (MRA) · pw: 4× D2ILASGM</t>
        </is>
      </c>
    </row>
    <row r="41" ht="22" customHeight="1">
      <c r="A41" s="7" t="inlineStr">
        <is>
          <t>Term</t>
        </is>
      </c>
      <c r="B41" s="24" t="inlineStr">
        <is>
          <t>Raman booster</t>
        </is>
      </c>
      <c r="C41" s="25" t="inlineStr">
        <is>
          <t>G3S-G2RPB4M-Y2</t>
        </is>
      </c>
      <c r="D41" s="26" t="inlineStr">
        <is>
          <t>Y</t>
        </is>
      </c>
      <c r="E41" s="27">
        <f>IFERROR(VLOOKUP(D41,BandLegend,2,FALSE),"")</f>
        <v/>
      </c>
      <c r="F41" s="19" t="inlineStr">
        <is>
          <t>full</t>
        </is>
      </c>
      <c r="G41" s="24" t="inlineStr">
        <is>
          <t>G31/G32/G32E</t>
        </is>
      </c>
      <c r="H41" s="26" t="inlineStr">
        <is>
          <t>R10.1</t>
        </is>
      </c>
      <c r="I41" s="26" t="inlineStr"/>
      <c r="J41" s="26" t="inlineStr"/>
      <c r="K41" s="28" t="n">
        <v>4</v>
      </c>
      <c r="L41" s="21" t="inlineStr">
        <is>
          <t>Yes</t>
        </is>
      </c>
      <c r="M41" s="26" t="inlineStr"/>
      <c r="N41" s="26" t="inlineStr"/>
      <c r="O41" s="29" t="inlineStr">
        <is>
          <t>Raman</t>
        </is>
      </c>
      <c r="P41" s="31" t="n">
        <v>140</v>
      </c>
      <c r="Q41" s="31" t="n">
        <v>340</v>
      </c>
      <c r="R41" s="32" t="n">
        <v>408</v>
      </c>
      <c r="S41" s="29" t="inlineStr">
        <is>
          <t>estimate</t>
        </is>
      </c>
      <c r="T41" s="30" t="inlineStr">
        <is>
          <t>Yes</t>
        </is>
      </c>
      <c r="U41" s="8" t="inlineStr">
        <is>
          <t>4-fiber Raman (Super C+L) · pw: 4× C2RPBMZZ-Y0</t>
        </is>
      </c>
    </row>
    <row r="42" ht="22" customHeight="1">
      <c r="A42" s="5" t="inlineStr">
        <is>
          <t>Term</t>
        </is>
      </c>
      <c r="B42" s="15" t="inlineStr">
        <is>
          <t>Hybrid amp</t>
        </is>
      </c>
      <c r="C42" s="16" t="inlineStr">
        <is>
          <t>G3S-H4IRB4SG-Z2</t>
        </is>
      </c>
      <c r="D42" s="17" t="inlineStr">
        <is>
          <t>Z</t>
        </is>
      </c>
      <c r="E42" s="18">
        <f>IFERROR(VLOOKUP(D42,BandLegend,2,FALSE),"")</f>
        <v/>
      </c>
      <c r="F42" s="19" t="inlineStr">
        <is>
          <t>full</t>
        </is>
      </c>
      <c r="G42" s="15" t="inlineStr">
        <is>
          <t>G31/G32/G32E</t>
        </is>
      </c>
      <c r="H42" s="17" t="inlineStr">
        <is>
          <t>R10.1</t>
        </is>
      </c>
      <c r="I42" s="17" t="inlineStr"/>
      <c r="J42" s="17" t="inlineStr"/>
      <c r="K42" s="20" t="n">
        <v>4</v>
      </c>
      <c r="L42" s="21" t="inlineStr">
        <is>
          <t>Yes</t>
        </is>
      </c>
      <c r="M42" s="17" t="inlineStr"/>
      <c r="N42" s="17" t="inlineStr"/>
      <c r="O42" s="22" t="inlineStr">
        <is>
          <t>Hybrid</t>
        </is>
      </c>
      <c r="P42" s="31" t="n">
        <v>250</v>
      </c>
      <c r="Q42" s="31" t="n">
        <v>400</v>
      </c>
      <c r="R42" s="32" t="n">
        <v>400</v>
      </c>
      <c r="S42" s="22" t="inlineStr">
        <is>
          <t>estimate</t>
        </is>
      </c>
      <c r="T42" s="30" t="inlineStr">
        <is>
          <t>Yes</t>
        </is>
      </c>
      <c r="U42" s="6" t="inlineStr">
        <is>
          <t>4-fiber hybrid (C+L) · pw: 4-fiber hybrid</t>
        </is>
      </c>
    </row>
    <row r="43" ht="22" customHeight="1">
      <c r="A43" s="14" t="inlineStr">
        <is>
          <t>ILA SITE — Chassis (Compact 300mm — fits C-/D-prefix cards)</t>
        </is>
      </c>
    </row>
    <row r="44" ht="22" customHeight="1">
      <c r="A44" s="5" t="inlineStr">
        <is>
          <t>ILA</t>
        </is>
      </c>
      <c r="B44" s="15" t="inlineStr">
        <is>
          <t>Chassis</t>
        </is>
      </c>
      <c r="C44" s="16" t="inlineStr">
        <is>
          <t>G34c</t>
        </is>
      </c>
      <c r="D44" s="17" t="inlineStr">
        <is>
          <t>*</t>
        </is>
      </c>
      <c r="E44" s="18">
        <f>IFERROR(VLOOKUP(D44,BandLegend,2,FALSE),"")</f>
        <v/>
      </c>
      <c r="F44" s="36" t="inlineStr">
        <is>
          <t>compact</t>
        </is>
      </c>
      <c r="G44" s="15" t="inlineStr">
        <is>
          <t>G34c/G32c/G38c</t>
        </is>
      </c>
      <c r="H44" s="17" t="inlineStr">
        <is>
          <t>R6.0</t>
        </is>
      </c>
      <c r="I44" s="17" t="n">
        <v>300</v>
      </c>
      <c r="J44" s="20" t="n">
        <v>4</v>
      </c>
      <c r="K44" s="17" t="n">
        <v>1</v>
      </c>
      <c r="L44" s="21" t="inlineStr">
        <is>
          <t>Yes</t>
        </is>
      </c>
      <c r="M44" s="17" t="inlineStr"/>
      <c r="N44" s="17" t="inlineStr"/>
      <c r="O44" s="22" t="inlineStr"/>
      <c r="P44" s="20" t="n">
        <v>106</v>
      </c>
      <c r="Q44" s="20" t="n">
        <v>134</v>
      </c>
      <c r="R44" s="17" t="n">
        <v>134</v>
      </c>
      <c r="S44" s="22" t="inlineStr">
        <is>
          <t>exact</t>
        </is>
      </c>
      <c r="T44" s="30" t="inlineStr">
        <is>
          <t>Yes</t>
        </is>
      </c>
      <c r="U44" s="6" t="inlineStr">
        <is>
          <t>Default ILA chassis · pw: baseline (User-Input)</t>
        </is>
      </c>
    </row>
    <row r="45" ht="22" customHeight="1">
      <c r="A45" s="7" t="inlineStr">
        <is>
          <t>ILA</t>
        </is>
      </c>
      <c r="B45" s="24" t="inlineStr">
        <is>
          <t>Chassis</t>
        </is>
      </c>
      <c r="C45" s="25" t="inlineStr">
        <is>
          <t>G32c</t>
        </is>
      </c>
      <c r="D45" s="26" t="inlineStr">
        <is>
          <t>*</t>
        </is>
      </c>
      <c r="E45" s="27">
        <f>IFERROR(VLOOKUP(D45,BandLegend,2,FALSE),"")</f>
        <v/>
      </c>
      <c r="F45" s="36" t="inlineStr">
        <is>
          <t>compact</t>
        </is>
      </c>
      <c r="G45" s="24" t="inlineStr">
        <is>
          <t>G34c/G32c/G38c</t>
        </is>
      </c>
      <c r="H45" s="26" t="inlineStr">
        <is>
          <t>R10.0</t>
        </is>
      </c>
      <c r="I45" s="26" t="n">
        <v>300</v>
      </c>
      <c r="J45" s="28" t="n">
        <v>2</v>
      </c>
      <c r="K45" s="26" t="n">
        <v>1</v>
      </c>
      <c r="L45" s="21" t="inlineStr">
        <is>
          <t>Yes</t>
        </is>
      </c>
      <c r="M45" s="26" t="inlineStr"/>
      <c r="N45" s="26" t="inlineStr"/>
      <c r="O45" s="29" t="inlineStr"/>
      <c r="P45" s="31" t="n">
        <v>70</v>
      </c>
      <c r="Q45" s="31" t="n">
        <v>130</v>
      </c>
      <c r="R45" s="32" t="n">
        <v>130</v>
      </c>
      <c r="S45" s="29" t="inlineStr">
        <is>
          <t>estimate</t>
        </is>
      </c>
      <c r="T45" s="30" t="inlineStr">
        <is>
          <t>Yes</t>
        </is>
      </c>
      <c r="U45" s="8" t="inlineStr">
        <is>
          <t>Compact (R10.0) · pw: compact est</t>
        </is>
      </c>
    </row>
    <row r="46" ht="22" customHeight="1">
      <c r="A46" s="5" t="inlineStr">
        <is>
          <t>ILA</t>
        </is>
      </c>
      <c r="B46" s="15" t="inlineStr">
        <is>
          <t>Chassis</t>
        </is>
      </c>
      <c r="C46" s="16" t="inlineStr">
        <is>
          <t>G38c</t>
        </is>
      </c>
      <c r="D46" s="17" t="inlineStr">
        <is>
          <t>*</t>
        </is>
      </c>
      <c r="E46" s="18">
        <f>IFERROR(VLOOKUP(D46,BandLegend,2,FALSE),"")</f>
        <v/>
      </c>
      <c r="F46" s="36" t="inlineStr">
        <is>
          <t>compact</t>
        </is>
      </c>
      <c r="G46" s="15" t="inlineStr">
        <is>
          <t>G34c/G32c/G38c</t>
        </is>
      </c>
      <c r="H46" s="17" t="inlineStr">
        <is>
          <t>R10.0</t>
        </is>
      </c>
      <c r="I46" s="17" t="n">
        <v>300</v>
      </c>
      <c r="J46" s="20" t="n">
        <v>3</v>
      </c>
      <c r="K46" s="17" t="n">
        <v>1</v>
      </c>
      <c r="L46" s="21" t="inlineStr">
        <is>
          <t>Yes</t>
        </is>
      </c>
      <c r="M46" s="17" t="inlineStr"/>
      <c r="N46" s="17" t="inlineStr"/>
      <c r="O46" s="22" t="inlineStr"/>
      <c r="P46" s="31" t="n">
        <v>70</v>
      </c>
      <c r="Q46" s="31" t="n">
        <v>130</v>
      </c>
      <c r="R46" s="32" t="n">
        <v>130</v>
      </c>
      <c r="S46" s="22" t="inlineStr">
        <is>
          <t>estimate</t>
        </is>
      </c>
      <c r="T46" s="30" t="inlineStr">
        <is>
          <t>Yes</t>
        </is>
      </c>
      <c r="U46" s="6" t="inlineStr">
        <is>
          <t>Compact (R10.0) · pw: compact est</t>
        </is>
      </c>
    </row>
    <row r="47" ht="22" customHeight="1">
      <c r="A47" s="14" t="inlineStr">
        <is>
          <t>ILA SITE — Chassis (Full 700mm — fits G-/H-prefix cards on ILA side)</t>
        </is>
      </c>
    </row>
    <row r="48" ht="22" customHeight="1">
      <c r="A48" s="5" t="inlineStr">
        <is>
          <t>ILA</t>
        </is>
      </c>
      <c r="B48" s="15" t="inlineStr">
        <is>
          <t>Chassis</t>
        </is>
      </c>
      <c r="C48" s="16" t="inlineStr">
        <is>
          <t>G32E (ILA-side)</t>
        </is>
      </c>
      <c r="D48" s="17" t="inlineStr">
        <is>
          <t>*</t>
        </is>
      </c>
      <c r="E48" s="18">
        <f>IFERROR(VLOOKUP(D48,BandLegend,2,FALSE),"")</f>
        <v/>
      </c>
      <c r="F48" s="19" t="inlineStr">
        <is>
          <t>full</t>
        </is>
      </c>
      <c r="G48" s="15" t="inlineStr">
        <is>
          <t>G31/G32/G32E</t>
        </is>
      </c>
      <c r="H48" s="17" t="inlineStr">
        <is>
          <t>R8.1</t>
        </is>
      </c>
      <c r="I48" s="17" t="n">
        <v>700</v>
      </c>
      <c r="J48" s="20" t="n">
        <v>2</v>
      </c>
      <c r="K48" s="20" t="n">
        <v>4</v>
      </c>
      <c r="L48" s="21" t="inlineStr">
        <is>
          <t>Yes</t>
        </is>
      </c>
      <c r="M48" s="17" t="inlineStr"/>
      <c r="N48" s="17" t="inlineStr"/>
      <c r="O48" s="22" t="inlineStr"/>
      <c r="P48" s="51" t="n">
        <v>176</v>
      </c>
      <c r="Q48" s="51" t="n">
        <v>382</v>
      </c>
      <c r="R48" s="51" t="n">
        <v>382</v>
      </c>
      <c r="S48" s="22" t="inlineStr">
        <is>
          <t>variant</t>
        </is>
      </c>
      <c r="T48" s="30" t="inlineStr">
        <is>
          <t>Yes</t>
        </is>
      </c>
      <c r="U48" s="6" t="inlineStr">
        <is>
          <t>For G4ILA4SM / G2RPB4M / H4IRB4SG · pw: same as G32</t>
        </is>
      </c>
    </row>
    <row r="49" ht="22" customHeight="1">
      <c r="A49" s="7" t="inlineStr">
        <is>
          <t>ILA</t>
        </is>
      </c>
      <c r="B49" s="24" t="inlineStr">
        <is>
          <t>Chassis</t>
        </is>
      </c>
      <c r="C49" s="25" t="inlineStr">
        <is>
          <t>G34L (ILA-side)</t>
        </is>
      </c>
      <c r="D49" s="26" t="inlineStr">
        <is>
          <t>L</t>
        </is>
      </c>
      <c r="E49" s="27">
        <f>IFERROR(VLOOKUP(D49,BandLegend,2,FALSE),"")</f>
        <v/>
      </c>
      <c r="F49" s="19" t="inlineStr">
        <is>
          <t>full</t>
        </is>
      </c>
      <c r="G49" s="24" t="inlineStr">
        <is>
          <t>G31/G32/G32E</t>
        </is>
      </c>
      <c r="H49" s="26" t="inlineStr">
        <is>
          <t>R9.2 tbc</t>
        </is>
      </c>
      <c r="I49" s="26" t="n">
        <v>700</v>
      </c>
      <c r="J49" s="28" t="n">
        <v>4</v>
      </c>
      <c r="K49" s="28" t="n">
        <v>4</v>
      </c>
      <c r="L49" s="21" t="inlineStr">
        <is>
          <t>Yes</t>
        </is>
      </c>
      <c r="M49" s="26" t="inlineStr"/>
      <c r="N49" s="26" t="inlineStr"/>
      <c r="O49" s="29" t="inlineStr"/>
      <c r="P49" s="52" t="n">
        <v>200</v>
      </c>
      <c r="Q49" s="52" t="n">
        <v>420</v>
      </c>
      <c r="R49" s="52" t="n">
        <v>420</v>
      </c>
      <c r="S49" s="29" t="inlineStr">
        <is>
          <t>estimate</t>
        </is>
      </c>
      <c r="T49" s="30" t="inlineStr">
        <is>
          <t>Yes</t>
        </is>
      </c>
      <c r="U49" s="8" t="inlineStr">
        <is>
          <t>L-band 700mm ILA · pw: L-band 700mm</t>
        </is>
      </c>
    </row>
    <row r="50" ht="22" customHeight="1">
      <c r="A50" s="14" t="inlineStr">
        <is>
          <t>ILA SITE — EDFA amps (compact, BIDI — 1 card per FP per site)</t>
        </is>
      </c>
    </row>
    <row r="51" ht="22" customHeight="1">
      <c r="A51" s="5" t="inlineStr">
        <is>
          <t>ILA</t>
        </is>
      </c>
      <c r="B51" s="15" t="inlineStr">
        <is>
          <t>ILA EDFA</t>
        </is>
      </c>
      <c r="C51" s="16" t="inlineStr">
        <is>
          <t>G3S-C2ILASGH-X0</t>
        </is>
      </c>
      <c r="D51" s="17" t="inlineStr">
        <is>
          <t>X</t>
        </is>
      </c>
      <c r="E51" s="18">
        <f>IFERROR(VLOOKUP(D51,BandLegend,2,FALSE),"")</f>
        <v/>
      </c>
      <c r="F51" s="36" t="inlineStr">
        <is>
          <t>compact</t>
        </is>
      </c>
      <c r="G51" s="15" t="inlineStr">
        <is>
          <t>G34c/G32c/G38c</t>
        </is>
      </c>
      <c r="H51" s="17" t="inlineStr">
        <is>
          <t>R6.0</t>
        </is>
      </c>
      <c r="I51" s="17" t="inlineStr"/>
      <c r="J51" s="17" t="inlineStr"/>
      <c r="K51" s="17" t="n">
        <v>1</v>
      </c>
      <c r="L51" s="21" t="inlineStr">
        <is>
          <t>Yes</t>
        </is>
      </c>
      <c r="M51" s="17" t="inlineStr"/>
      <c r="N51" s="17" t="inlineStr"/>
      <c r="O51" s="22" t="inlineStr">
        <is>
          <t>EDFA</t>
        </is>
      </c>
      <c r="P51" s="20" t="n">
        <v>62</v>
      </c>
      <c r="Q51" s="20" t="n">
        <v>90</v>
      </c>
      <c r="R51" s="17" t="n">
        <v>90</v>
      </c>
      <c r="S51" s="22" t="inlineStr">
        <is>
          <t>exact</t>
        </is>
      </c>
      <c r="T51" s="30" t="inlineStr">
        <is>
          <t>Yes</t>
        </is>
      </c>
      <c r="U51" s="6" t="inlineStr">
        <is>
          <t>ILA single-stage Super C upg</t>
        </is>
      </c>
    </row>
    <row r="52" ht="22" customHeight="1">
      <c r="A52" s="7" t="inlineStr">
        <is>
          <t>ILA</t>
        </is>
      </c>
      <c r="B52" s="24" t="inlineStr">
        <is>
          <t>ILA EDFA</t>
        </is>
      </c>
      <c r="C52" s="25" t="inlineStr">
        <is>
          <t>G3S-C2ILASGH-L0</t>
        </is>
      </c>
      <c r="D52" s="26" t="inlineStr">
        <is>
          <t>L</t>
        </is>
      </c>
      <c r="E52" s="27">
        <f>IFERROR(VLOOKUP(D52,BandLegend,2,FALSE),"")</f>
        <v/>
      </c>
      <c r="F52" s="36" t="inlineStr">
        <is>
          <t>compact</t>
        </is>
      </c>
      <c r="G52" s="24" t="inlineStr">
        <is>
          <t>G34c/G32c/G38c</t>
        </is>
      </c>
      <c r="H52" s="26" t="inlineStr">
        <is>
          <t>R10.0</t>
        </is>
      </c>
      <c r="I52" s="26" t="inlineStr"/>
      <c r="J52" s="26" t="inlineStr"/>
      <c r="K52" s="26" t="n">
        <v>1</v>
      </c>
      <c r="L52" s="21" t="inlineStr">
        <is>
          <t>Yes</t>
        </is>
      </c>
      <c r="M52" s="26" t="inlineStr"/>
      <c r="N52" s="26" t="inlineStr"/>
      <c r="O52" s="29" t="inlineStr">
        <is>
          <t>EDFA</t>
        </is>
      </c>
      <c r="P52" s="28" t="n">
        <v>62</v>
      </c>
      <c r="Q52" s="28" t="n">
        <v>90</v>
      </c>
      <c r="R52" s="26" t="n">
        <v>90</v>
      </c>
      <c r="S52" s="29" t="inlineStr">
        <is>
          <t>variant</t>
        </is>
      </c>
      <c r="T52" s="30" t="inlineStr">
        <is>
          <t>Yes</t>
        </is>
      </c>
      <c r="U52" s="8" t="inlineStr">
        <is>
          <t>ILA single-stage L · pw: L-band</t>
        </is>
      </c>
    </row>
    <row r="53" ht="22" customHeight="1">
      <c r="A53" s="5" t="inlineStr">
        <is>
          <t>ILA</t>
        </is>
      </c>
      <c r="B53" s="15" t="inlineStr">
        <is>
          <t>ILA EDFA</t>
        </is>
      </c>
      <c r="C53" s="16" t="inlineStr">
        <is>
          <t>G3S-D2ILASGM-Z0</t>
        </is>
      </c>
      <c r="D53" s="17" t="inlineStr">
        <is>
          <t>Z</t>
        </is>
      </c>
      <c r="E53" s="18">
        <f>IFERROR(VLOOKUP(D53,BandLegend,2,FALSE),"")</f>
        <v/>
      </c>
      <c r="F53" s="36" t="inlineStr">
        <is>
          <t>compact</t>
        </is>
      </c>
      <c r="G53" s="15" t="inlineStr">
        <is>
          <t>G34c/G32c/G38c</t>
        </is>
      </c>
      <c r="H53" s="17" t="inlineStr">
        <is>
          <t>R8.1</t>
        </is>
      </c>
      <c r="I53" s="17" t="inlineStr"/>
      <c r="J53" s="17" t="inlineStr"/>
      <c r="K53" s="17" t="n">
        <v>1</v>
      </c>
      <c r="L53" s="21" t="inlineStr">
        <is>
          <t>Yes</t>
        </is>
      </c>
      <c r="M53" s="17" t="inlineStr"/>
      <c r="N53" s="17" t="inlineStr"/>
      <c r="O53" s="22" t="inlineStr">
        <is>
          <t>EDFA</t>
        </is>
      </c>
      <c r="P53" s="20" t="n">
        <v>110</v>
      </c>
      <c r="Q53" s="20" t="n">
        <v>145</v>
      </c>
      <c r="R53" s="17" t="n">
        <v>180</v>
      </c>
      <c r="S53" s="22" t="inlineStr">
        <is>
          <t>exact</t>
        </is>
      </c>
      <c r="T53" s="30" t="inlineStr">
        <is>
          <t>Yes</t>
        </is>
      </c>
      <c r="U53" s="6" t="inlineStr">
        <is>
          <t>ILA dual-stage C+L</t>
        </is>
      </c>
    </row>
    <row r="54" ht="22" customHeight="1">
      <c r="A54" s="7" t="inlineStr">
        <is>
          <t>ILA</t>
        </is>
      </c>
      <c r="B54" s="24" t="inlineStr">
        <is>
          <t>ILA EDFA</t>
        </is>
      </c>
      <c r="C54" s="25" t="inlineStr">
        <is>
          <t>G3S-D2ILSGM-Z0</t>
        </is>
      </c>
      <c r="D54" s="26" t="inlineStr">
        <is>
          <t>Z</t>
        </is>
      </c>
      <c r="E54" s="27">
        <f>IFERROR(VLOOKUP(D54,BandLegend,2,FALSE),"")</f>
        <v/>
      </c>
      <c r="F54" s="36" t="inlineStr">
        <is>
          <t>compact</t>
        </is>
      </c>
      <c r="G54" s="24" t="inlineStr">
        <is>
          <t>G34c/G32c/G38c</t>
        </is>
      </c>
      <c r="H54" s="26" t="inlineStr">
        <is>
          <t>R10.0</t>
        </is>
      </c>
      <c r="I54" s="26" t="inlineStr"/>
      <c r="J54" s="26" t="inlineStr"/>
      <c r="K54" s="26" t="n">
        <v>1</v>
      </c>
      <c r="L54" s="21" t="inlineStr">
        <is>
          <t>Yes</t>
        </is>
      </c>
      <c r="M54" s="26" t="inlineStr"/>
      <c r="N54" s="26" t="inlineStr"/>
      <c r="O54" s="29" t="inlineStr">
        <is>
          <t>EDFA</t>
        </is>
      </c>
      <c r="P54" s="31" t="n">
        <v>88</v>
      </c>
      <c r="Q54" s="31" t="n">
        <v>120</v>
      </c>
      <c r="R54" s="32" t="n">
        <v>145</v>
      </c>
      <c r="S54" s="29" t="inlineStr">
        <is>
          <t>estimate</t>
        </is>
      </c>
      <c r="T54" s="30" t="inlineStr">
        <is>
          <t>Yes</t>
        </is>
      </c>
      <c r="U54" s="8" t="inlineStr">
        <is>
          <t>ILA single-stage C+L · pw: single-stage est</t>
        </is>
      </c>
    </row>
    <row r="55" ht="22" customHeight="1">
      <c r="A55" s="5" t="inlineStr">
        <is>
          <t>ILA</t>
        </is>
      </c>
      <c r="B55" s="15" t="inlineStr">
        <is>
          <t>ILA EDFA (4-fiber)</t>
        </is>
      </c>
      <c r="C55" s="16" t="inlineStr">
        <is>
          <t>G3S-G4ILA4SM-Z0 (ILA)</t>
        </is>
      </c>
      <c r="D55" s="17" t="inlineStr">
        <is>
          <t>Z</t>
        </is>
      </c>
      <c r="E55" s="18">
        <f>IFERROR(VLOOKUP(D55,BandLegend,2,FALSE),"")</f>
        <v/>
      </c>
      <c r="F55" s="19" t="inlineStr">
        <is>
          <t>full</t>
        </is>
      </c>
      <c r="G55" s="15" t="inlineStr">
        <is>
          <t>G31/G32/G32E</t>
        </is>
      </c>
      <c r="H55" s="17" t="inlineStr">
        <is>
          <t>R8.1</t>
        </is>
      </c>
      <c r="I55" s="17" t="inlineStr"/>
      <c r="J55" s="17" t="inlineStr"/>
      <c r="K55" s="20" t="n">
        <v>4</v>
      </c>
      <c r="L55" s="21" t="inlineStr">
        <is>
          <t>Yes</t>
        </is>
      </c>
      <c r="M55" s="17" t="inlineStr"/>
      <c r="N55" s="17" t="inlineStr"/>
      <c r="O55" s="22" t="inlineStr">
        <is>
          <t>EDFA</t>
        </is>
      </c>
      <c r="P55" s="52" t="n">
        <v>220</v>
      </c>
      <c r="Q55" s="52" t="n">
        <v>360</v>
      </c>
      <c r="R55" s="52" t="n">
        <v>360</v>
      </c>
      <c r="S55" s="22" t="inlineStr">
        <is>
          <t>estimate</t>
        </is>
      </c>
      <c r="T55" s="30" t="inlineStr">
        <is>
          <t>Yes</t>
        </is>
      </c>
      <c r="U55" s="6" t="inlineStr">
        <is>
          <t>4-fiber MRA (full chassis only)</t>
        </is>
      </c>
    </row>
    <row r="56" ht="22" customHeight="1">
      <c r="A56" s="14" t="inlineStr">
        <is>
          <t>ILA SITE — Raman amps (UNIDIRECTIONAL — ×2 per FP per site, one per direction)</t>
        </is>
      </c>
    </row>
    <row r="57" ht="22" customHeight="1">
      <c r="A57" s="5" t="inlineStr">
        <is>
          <t>ILA</t>
        </is>
      </c>
      <c r="B57" s="15" t="inlineStr">
        <is>
          <t>ILA Raman</t>
        </is>
      </c>
      <c r="C57" s="16" t="inlineStr">
        <is>
          <t>G3S-C2RPBLZZ-W0</t>
        </is>
      </c>
      <c r="D57" s="17" t="inlineStr">
        <is>
          <t>W</t>
        </is>
      </c>
      <c r="E57" s="18">
        <f>IFERROR(VLOOKUP(D57,BandLegend,2,FALSE),"")</f>
        <v/>
      </c>
      <c r="F57" s="36" t="inlineStr">
        <is>
          <t>compact</t>
        </is>
      </c>
      <c r="G57" s="15" t="inlineStr">
        <is>
          <t>G34c/G32c/G38c</t>
        </is>
      </c>
      <c r="H57" s="17" t="inlineStr">
        <is>
          <t>R6.0.1</t>
        </is>
      </c>
      <c r="I57" s="17" t="inlineStr"/>
      <c r="J57" s="17" t="inlineStr"/>
      <c r="K57" s="17" t="n">
        <v>1</v>
      </c>
      <c r="L57" s="32" t="inlineStr">
        <is>
          <t>NO (uni-dir)</t>
        </is>
      </c>
      <c r="M57" s="17" t="inlineStr"/>
      <c r="N57" s="17" t="inlineStr"/>
      <c r="O57" s="22" t="inlineStr">
        <is>
          <t>Raman</t>
        </is>
      </c>
      <c r="P57" s="20" t="n">
        <v>37</v>
      </c>
      <c r="Q57" s="20" t="n">
        <v>60</v>
      </c>
      <c r="R57" s="17" t="n">
        <v>60</v>
      </c>
      <c r="S57" s="22" t="inlineStr">
        <is>
          <t>exact</t>
        </is>
      </c>
      <c r="T57" s="30" t="inlineStr">
        <is>
          <t>Yes</t>
        </is>
      </c>
      <c r="U57" s="6" t="inlineStr">
        <is>
          <t>Raman ILA (Super C) v0. Uni-dir.</t>
        </is>
      </c>
    </row>
    <row r="58" ht="22" customHeight="1">
      <c r="A58" s="7" t="inlineStr">
        <is>
          <t>ILA</t>
        </is>
      </c>
      <c r="B58" s="24" t="inlineStr">
        <is>
          <t>ILA Raman</t>
        </is>
      </c>
      <c r="C58" s="25" t="inlineStr">
        <is>
          <t>G3S-C2RPBLZZ-W1</t>
        </is>
      </c>
      <c r="D58" s="26" t="inlineStr">
        <is>
          <t>W</t>
        </is>
      </c>
      <c r="E58" s="27">
        <f>IFERROR(VLOOKUP(D58,BandLegend,2,FALSE),"")</f>
        <v/>
      </c>
      <c r="F58" s="36" t="inlineStr">
        <is>
          <t>compact</t>
        </is>
      </c>
      <c r="G58" s="24" t="inlineStr">
        <is>
          <t>G34c/G32c/G38c</t>
        </is>
      </c>
      <c r="H58" s="26" t="inlineStr">
        <is>
          <t>R7.2</t>
        </is>
      </c>
      <c r="I58" s="26" t="inlineStr"/>
      <c r="J58" s="26" t="inlineStr"/>
      <c r="K58" s="26" t="n">
        <v>1</v>
      </c>
      <c r="L58" s="32" t="inlineStr">
        <is>
          <t>NO (uni-dir)</t>
        </is>
      </c>
      <c r="M58" s="26" t="inlineStr"/>
      <c r="N58" s="26" t="inlineStr"/>
      <c r="O58" s="29" t="inlineStr">
        <is>
          <t>Raman</t>
        </is>
      </c>
      <c r="P58" s="28" t="n">
        <v>37</v>
      </c>
      <c r="Q58" s="28" t="n">
        <v>60</v>
      </c>
      <c r="R58" s="26" t="n">
        <v>60</v>
      </c>
      <c r="S58" s="29" t="inlineStr">
        <is>
          <t>variant</t>
        </is>
      </c>
      <c r="T58" s="30" t="inlineStr">
        <is>
          <t>Yes</t>
        </is>
      </c>
      <c r="U58" s="8" t="inlineStr">
        <is>
          <t>Raman ILA (Super C) v1 · pw: same as -W0</t>
        </is>
      </c>
    </row>
    <row r="59" ht="22" customHeight="1">
      <c r="A59" s="5" t="inlineStr">
        <is>
          <t>ILA</t>
        </is>
      </c>
      <c r="B59" s="15" t="inlineStr">
        <is>
          <t>ILA Raman</t>
        </is>
      </c>
      <c r="C59" s="16" t="inlineStr">
        <is>
          <t>G3S-C2RPBLZZ-W2</t>
        </is>
      </c>
      <c r="D59" s="17" t="inlineStr">
        <is>
          <t>W</t>
        </is>
      </c>
      <c r="E59" s="18">
        <f>IFERROR(VLOOKUP(D59,BandLegend,2,FALSE),"")</f>
        <v/>
      </c>
      <c r="F59" s="36" t="inlineStr">
        <is>
          <t>compact</t>
        </is>
      </c>
      <c r="G59" s="15" t="inlineStr">
        <is>
          <t>G34c/G32c/G38c</t>
        </is>
      </c>
      <c r="H59" s="17" t="inlineStr">
        <is>
          <t>R9.0</t>
        </is>
      </c>
      <c r="I59" s="17" t="inlineStr"/>
      <c r="J59" s="17" t="inlineStr"/>
      <c r="K59" s="17" t="n">
        <v>1</v>
      </c>
      <c r="L59" s="32" t="inlineStr">
        <is>
          <t>NO (uni-dir)</t>
        </is>
      </c>
      <c r="M59" s="17" t="inlineStr"/>
      <c r="N59" s="17" t="inlineStr"/>
      <c r="O59" s="22" t="inlineStr">
        <is>
          <t>Raman</t>
        </is>
      </c>
      <c r="P59" s="20" t="n">
        <v>37</v>
      </c>
      <c r="Q59" s="20" t="n">
        <v>60</v>
      </c>
      <c r="R59" s="17" t="n">
        <v>60</v>
      </c>
      <c r="S59" s="22" t="inlineStr">
        <is>
          <t>variant</t>
        </is>
      </c>
      <c r="T59" s="30" t="inlineStr">
        <is>
          <t>Yes</t>
        </is>
      </c>
      <c r="U59" s="6" t="inlineStr">
        <is>
          <t>Raman ILA (Super C) v2 · pw: same as -W0</t>
        </is>
      </c>
    </row>
    <row r="60" ht="22" customHeight="1">
      <c r="A60" s="7" t="inlineStr">
        <is>
          <t>ILA</t>
        </is>
      </c>
      <c r="B60" s="24" t="inlineStr">
        <is>
          <t>ILA Raman</t>
        </is>
      </c>
      <c r="C60" s="25" t="inlineStr">
        <is>
          <t>G3S-C2RPBMZZ-Y0</t>
        </is>
      </c>
      <c r="D60" s="26" t="inlineStr">
        <is>
          <t>Y</t>
        </is>
      </c>
      <c r="E60" s="27">
        <f>IFERROR(VLOOKUP(D60,BandLegend,2,FALSE),"")</f>
        <v/>
      </c>
      <c r="F60" s="36" t="inlineStr">
        <is>
          <t>compact</t>
        </is>
      </c>
      <c r="G60" s="24" t="inlineStr">
        <is>
          <t>G34c/G32c/G38c</t>
        </is>
      </c>
      <c r="H60" s="26" t="inlineStr">
        <is>
          <t>R7.1</t>
        </is>
      </c>
      <c r="I60" s="26" t="inlineStr"/>
      <c r="J60" s="26" t="inlineStr"/>
      <c r="K60" s="26" t="n">
        <v>1</v>
      </c>
      <c r="L60" s="32" t="inlineStr">
        <is>
          <t>NO (uni-dir)</t>
        </is>
      </c>
      <c r="M60" s="26" t="inlineStr"/>
      <c r="N60" s="26" t="inlineStr"/>
      <c r="O60" s="29" t="inlineStr">
        <is>
          <t>Raman</t>
        </is>
      </c>
      <c r="P60" s="28" t="n">
        <v>54</v>
      </c>
      <c r="Q60" s="28" t="n">
        <v>85</v>
      </c>
      <c r="R60" s="26" t="n">
        <v>102</v>
      </c>
      <c r="S60" s="29" t="inlineStr">
        <is>
          <t>exact</t>
        </is>
      </c>
      <c r="T60" s="30" t="inlineStr">
        <is>
          <t>Yes</t>
        </is>
      </c>
      <c r="U60" s="8" t="inlineStr">
        <is>
          <t>Raman ILA (Super C+L) v0</t>
        </is>
      </c>
    </row>
    <row r="61" ht="22" customHeight="1">
      <c r="A61" s="5" t="inlineStr">
        <is>
          <t>ILA</t>
        </is>
      </c>
      <c r="B61" s="15" t="inlineStr">
        <is>
          <t>ILA Raman</t>
        </is>
      </c>
      <c r="C61" s="16" t="inlineStr">
        <is>
          <t>G3S-C2RPBMZZ-Y1</t>
        </is>
      </c>
      <c r="D61" s="17" t="inlineStr">
        <is>
          <t>Y</t>
        </is>
      </c>
      <c r="E61" s="18">
        <f>IFERROR(VLOOKUP(D61,BandLegend,2,FALSE),"")</f>
        <v/>
      </c>
      <c r="F61" s="36" t="inlineStr">
        <is>
          <t>compact</t>
        </is>
      </c>
      <c r="G61" s="15" t="inlineStr">
        <is>
          <t>G34c/G32c/G38c</t>
        </is>
      </c>
      <c r="H61" s="17" t="inlineStr">
        <is>
          <t>R7.2</t>
        </is>
      </c>
      <c r="I61" s="17" t="inlineStr"/>
      <c r="J61" s="17" t="inlineStr"/>
      <c r="K61" s="17" t="n">
        <v>1</v>
      </c>
      <c r="L61" s="32" t="inlineStr">
        <is>
          <t>NO (uni-dir)</t>
        </is>
      </c>
      <c r="M61" s="17" t="inlineStr"/>
      <c r="N61" s="17" t="inlineStr"/>
      <c r="O61" s="22" t="inlineStr">
        <is>
          <t>Raman</t>
        </is>
      </c>
      <c r="P61" s="20" t="n">
        <v>54</v>
      </c>
      <c r="Q61" s="20" t="n">
        <v>85</v>
      </c>
      <c r="R61" s="17" t="n">
        <v>102</v>
      </c>
      <c r="S61" s="22" t="inlineStr">
        <is>
          <t>variant</t>
        </is>
      </c>
      <c r="T61" s="30" t="inlineStr">
        <is>
          <t>Yes</t>
        </is>
      </c>
      <c r="U61" s="6" t="inlineStr">
        <is>
          <t>Raman ILA (Super C+L) v1 · pw: same as -Y0</t>
        </is>
      </c>
    </row>
    <row r="62" ht="22" customHeight="1">
      <c r="A62" s="7" t="inlineStr">
        <is>
          <t>ILA</t>
        </is>
      </c>
      <c r="B62" s="24" t="inlineStr">
        <is>
          <t>ILA Raman</t>
        </is>
      </c>
      <c r="C62" s="25" t="inlineStr">
        <is>
          <t>G3S-C2RPBMZZ-Y2</t>
        </is>
      </c>
      <c r="D62" s="26" t="inlineStr">
        <is>
          <t>Y</t>
        </is>
      </c>
      <c r="E62" s="27">
        <f>IFERROR(VLOOKUP(D62,BandLegend,2,FALSE),"")</f>
        <v/>
      </c>
      <c r="F62" s="36" t="inlineStr">
        <is>
          <t>compact</t>
        </is>
      </c>
      <c r="G62" s="24" t="inlineStr">
        <is>
          <t>G34c/G32c/G38c</t>
        </is>
      </c>
      <c r="H62" s="26" t="inlineStr">
        <is>
          <t>R9.0</t>
        </is>
      </c>
      <c r="I62" s="26" t="inlineStr"/>
      <c r="J62" s="26" t="inlineStr"/>
      <c r="K62" s="26" t="n">
        <v>1</v>
      </c>
      <c r="L62" s="32" t="inlineStr">
        <is>
          <t>NO (uni-dir)</t>
        </is>
      </c>
      <c r="M62" s="26" t="inlineStr"/>
      <c r="N62" s="26" t="inlineStr"/>
      <c r="O62" s="29" t="inlineStr">
        <is>
          <t>Raman</t>
        </is>
      </c>
      <c r="P62" s="28" t="n">
        <v>54</v>
      </c>
      <c r="Q62" s="28" t="n">
        <v>85</v>
      </c>
      <c r="R62" s="26" t="n">
        <v>102</v>
      </c>
      <c r="S62" s="29" t="inlineStr">
        <is>
          <t>variant</t>
        </is>
      </c>
      <c r="T62" s="30" t="inlineStr">
        <is>
          <t>Yes</t>
        </is>
      </c>
      <c r="U62" s="8" t="inlineStr">
        <is>
          <t>Raman ILA (Super C+L) v2 · pw: same as -Y0</t>
        </is>
      </c>
    </row>
    <row r="63" ht="22" customHeight="1">
      <c r="A63" s="5" t="inlineStr">
        <is>
          <t>ILA</t>
        </is>
      </c>
      <c r="B63" s="15" t="inlineStr">
        <is>
          <t>ILA Raman (4-fiber)</t>
        </is>
      </c>
      <c r="C63" s="16" t="inlineStr">
        <is>
          <t>G3S-G2RPB4M-Y2 (ILA)</t>
        </is>
      </c>
      <c r="D63" s="17" t="inlineStr">
        <is>
          <t>Y</t>
        </is>
      </c>
      <c r="E63" s="18">
        <f>IFERROR(VLOOKUP(D63,BandLegend,2,FALSE),"")</f>
        <v/>
      </c>
      <c r="F63" s="19" t="inlineStr">
        <is>
          <t>full</t>
        </is>
      </c>
      <c r="G63" s="15" t="inlineStr">
        <is>
          <t>G31/G32/G32E</t>
        </is>
      </c>
      <c r="H63" s="17" t="inlineStr">
        <is>
          <t>R10.1</t>
        </is>
      </c>
      <c r="I63" s="17" t="inlineStr"/>
      <c r="J63" s="17" t="inlineStr"/>
      <c r="K63" s="20" t="n">
        <v>4</v>
      </c>
      <c r="L63" s="32" t="inlineStr">
        <is>
          <t>NO (uni-dir)</t>
        </is>
      </c>
      <c r="M63" s="17" t="inlineStr"/>
      <c r="N63" s="17" t="inlineStr"/>
      <c r="O63" s="22" t="inlineStr">
        <is>
          <t>Raman</t>
        </is>
      </c>
      <c r="P63" s="52" t="n">
        <v>140</v>
      </c>
      <c r="Q63" s="52" t="n">
        <v>340</v>
      </c>
      <c r="R63" s="52" t="n">
        <v>408</v>
      </c>
      <c r="S63" s="22" t="inlineStr">
        <is>
          <t>estimate</t>
        </is>
      </c>
      <c r="T63" s="30" t="inlineStr">
        <is>
          <t>Yes</t>
        </is>
      </c>
      <c r="U63" s="6" t="inlineStr">
        <is>
          <t>4-fiber Raman ILA (full chassis only)</t>
        </is>
      </c>
    </row>
    <row r="64" ht="22" customHeight="1">
      <c r="A64" s="14" t="inlineStr">
        <is>
          <t>ILA SITE — Hybrid amps (BIDI EDFA+Raman in one)</t>
        </is>
      </c>
    </row>
    <row r="65" ht="22" customHeight="1">
      <c r="A65" s="5" t="inlineStr">
        <is>
          <t>ILA</t>
        </is>
      </c>
      <c r="B65" s="15" t="inlineStr">
        <is>
          <t>ILA Hybrid</t>
        </is>
      </c>
      <c r="C65" s="16" t="inlineStr">
        <is>
          <t>G3S-D2IRB1SM-Z2</t>
        </is>
      </c>
      <c r="D65" s="17" t="inlineStr">
        <is>
          <t>Z</t>
        </is>
      </c>
      <c r="E65" s="18">
        <f>IFERROR(VLOOKUP(D65,BandLegend,2,FALSE),"")</f>
        <v/>
      </c>
      <c r="F65" s="36" t="inlineStr">
        <is>
          <t>compact</t>
        </is>
      </c>
      <c r="G65" s="15" t="inlineStr">
        <is>
          <t>G34c/G32c/G38c</t>
        </is>
      </c>
      <c r="H65" s="17" t="inlineStr">
        <is>
          <t>R10.0</t>
        </is>
      </c>
      <c r="I65" s="17" t="inlineStr"/>
      <c r="J65" s="17" t="inlineStr"/>
      <c r="K65" s="17" t="n">
        <v>1</v>
      </c>
      <c r="L65" s="21" t="inlineStr">
        <is>
          <t>Yes</t>
        </is>
      </c>
      <c r="M65" s="17" t="inlineStr"/>
      <c r="N65" s="17" t="inlineStr"/>
      <c r="O65" s="22" t="inlineStr">
        <is>
          <t>Hybrid</t>
        </is>
      </c>
      <c r="P65" s="31" t="n">
        <v>195</v>
      </c>
      <c r="Q65" s="31" t="n">
        <v>230</v>
      </c>
      <c r="R65" s="32" t="n">
        <v>282</v>
      </c>
      <c r="S65" s="22" t="inlineStr">
        <is>
          <t>estimate</t>
        </is>
      </c>
      <c r="T65" s="30" t="inlineStr">
        <is>
          <t>Yes</t>
        </is>
      </c>
      <c r="U65" s="6" t="inlineStr">
        <is>
          <t>Hybrid 1-fiber C+L · pw: EDFA+Raman one card</t>
        </is>
      </c>
    </row>
    <row r="66" ht="22" customHeight="1">
      <c r="A66" s="7" t="inlineStr">
        <is>
          <t>ILA</t>
        </is>
      </c>
      <c r="B66" s="24" t="inlineStr">
        <is>
          <t>ILA Hybrid (4-fiber)</t>
        </is>
      </c>
      <c r="C66" s="25" t="inlineStr">
        <is>
          <t>G3S-H4IRB4SG-Z2 (ILA)</t>
        </is>
      </c>
      <c r="D66" s="26" t="inlineStr">
        <is>
          <t>Z</t>
        </is>
      </c>
      <c r="E66" s="27">
        <f>IFERROR(VLOOKUP(D66,BandLegend,2,FALSE),"")</f>
        <v/>
      </c>
      <c r="F66" s="19" t="inlineStr">
        <is>
          <t>full</t>
        </is>
      </c>
      <c r="G66" s="24" t="inlineStr">
        <is>
          <t>G31/G32/G32E</t>
        </is>
      </c>
      <c r="H66" s="26" t="inlineStr">
        <is>
          <t>R10.1</t>
        </is>
      </c>
      <c r="I66" s="26" t="inlineStr"/>
      <c r="J66" s="26" t="inlineStr"/>
      <c r="K66" s="28" t="n">
        <v>4</v>
      </c>
      <c r="L66" s="21" t="inlineStr">
        <is>
          <t>Yes</t>
        </is>
      </c>
      <c r="M66" s="26" t="inlineStr"/>
      <c r="N66" s="26" t="inlineStr"/>
      <c r="O66" s="29" t="inlineStr">
        <is>
          <t>Hybrid</t>
        </is>
      </c>
      <c r="P66" s="52" t="n">
        <v>250</v>
      </c>
      <c r="Q66" s="52" t="n">
        <v>400</v>
      </c>
      <c r="R66" s="52" t="n">
        <v>400</v>
      </c>
      <c r="S66" s="29" t="inlineStr">
        <is>
          <t>estimate</t>
        </is>
      </c>
      <c r="T66" s="30" t="inlineStr">
        <is>
          <t>Yes</t>
        </is>
      </c>
      <c r="U66" s="8" t="inlineStr">
        <is>
          <t>4-fiber hybrid (full chassis only)</t>
        </is>
      </c>
    </row>
    <row r="67" ht="22" customHeight="1">
      <c r="A67" s="5" t="inlineStr">
        <is>
          <t>ILA</t>
        </is>
      </c>
      <c r="B67" s="15" t="inlineStr">
        <is>
          <t>ILA EDFA (uni-dir)</t>
        </is>
      </c>
      <c r="C67" s="16" t="inlineStr">
        <is>
          <t>G2PBALZZ-N0</t>
        </is>
      </c>
      <c r="D67" s="17" t="inlineStr">
        <is>
          <t>N</t>
        </is>
      </c>
      <c r="E67" s="18">
        <f>IFERROR(VLOOKUP(D67,BandLegend,2,FALSE),"")</f>
        <v/>
      </c>
      <c r="F67" s="19" t="inlineStr">
        <is>
          <t>full</t>
        </is>
      </c>
      <c r="G67" s="15" t="inlineStr">
        <is>
          <t>G31/G32/G32E</t>
        </is>
      </c>
      <c r="H67" s="17" t="inlineStr">
        <is>
          <t>R9.1</t>
        </is>
      </c>
      <c r="I67" s="17" t="inlineStr"/>
      <c r="J67" s="17" t="inlineStr"/>
      <c r="K67" s="17" t="n">
        <v>1</v>
      </c>
      <c r="L67" s="32" t="inlineStr">
        <is>
          <t>NO (uni-dir)</t>
        </is>
      </c>
      <c r="M67" s="17" t="inlineStr"/>
      <c r="N67" s="17" t="inlineStr"/>
      <c r="O67" s="22" t="inlineStr">
        <is>
          <t>EDFA</t>
        </is>
      </c>
      <c r="P67" s="31" t="n">
        <v>33</v>
      </c>
      <c r="Q67" s="31" t="n">
        <v>80</v>
      </c>
      <c r="R67" s="32" t="n">
        <v>80</v>
      </c>
      <c r="S67" s="22" t="inlineStr">
        <is>
          <t>estimate</t>
        </is>
      </c>
      <c r="T67" s="30" t="inlineStr">
        <is>
          <t>Yes</t>
        </is>
      </c>
      <c r="U67" s="6" t="inlineStr">
        <is>
          <t>ILA-side PBAL uni-dir · pw: ILA-side PBAL</t>
        </is>
      </c>
    </row>
  </sheetData>
  <mergeCells count="11">
    <mergeCell ref="A50:U50"/>
    <mergeCell ref="A26:U26"/>
    <mergeCell ref="A2:U2"/>
    <mergeCell ref="A15:U15"/>
    <mergeCell ref="A7:U7"/>
    <mergeCell ref="A64:U64"/>
    <mergeCell ref="A43:U43"/>
    <mergeCell ref="A47:U47"/>
    <mergeCell ref="A56:U56"/>
    <mergeCell ref="A18:U18"/>
    <mergeCell ref="A31:U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4" customWidth="1" min="3" max="3"/>
    <col width="12" customWidth="1" min="4" max="4"/>
    <col width="36" customWidth="1" min="5" max="5"/>
  </cols>
  <sheetData>
    <row r="1" ht="30" customHeight="1">
      <c r="A1" s="37" t="inlineStr">
        <is>
          <t>Band Hierarchy</t>
        </is>
      </c>
    </row>
    <row r="2">
      <c r="A2" s="38" t="inlineStr">
        <is>
          <t>Wider-band cards cover narrower requirements. Engine uses this for card eligibility.</t>
        </is>
      </c>
    </row>
    <row r="4" ht="36" customHeight="1">
      <c r="A4" s="13" t="inlineStr">
        <is>
          <t>Suffix</t>
        </is>
      </c>
      <c r="B4" s="13" t="inlineStr">
        <is>
          <t>Coverage</t>
        </is>
      </c>
      <c r="C4" s="13" t="inlineStr">
        <is>
          <t>Meaning</t>
        </is>
      </c>
      <c r="D4" s="13" t="inlineStr">
        <is>
          <t>Spectrum</t>
        </is>
      </c>
      <c r="E4" s="13" t="inlineStr">
        <is>
          <t>Notes</t>
        </is>
      </c>
    </row>
    <row r="5" ht="22" customHeight="1">
      <c r="A5" s="33" t="inlineStr">
        <is>
          <t>N</t>
        </is>
      </c>
      <c r="B5" s="15" t="inlineStr">
        <is>
          <t>C</t>
        </is>
      </c>
      <c r="C5" s="39" t="inlineStr">
        <is>
          <t>Std C non-upg</t>
        </is>
      </c>
      <c r="D5" s="22" t="inlineStr">
        <is>
          <t>4.85 THz</t>
        </is>
      </c>
      <c r="E5" s="6" t="inlineStr">
        <is>
          <t>Cannot upgrade to L</t>
        </is>
      </c>
    </row>
    <row r="6" ht="22" customHeight="1">
      <c r="A6" s="35" t="inlineStr">
        <is>
          <t>C</t>
        </is>
      </c>
      <c r="B6" s="24" t="inlineStr">
        <is>
          <t>C</t>
        </is>
      </c>
      <c r="C6" s="40" t="inlineStr">
        <is>
          <t>Std C upg-to-L</t>
        </is>
      </c>
      <c r="D6" s="29" t="inlineStr">
        <is>
          <t>4.85 THz</t>
        </is>
      </c>
      <c r="E6" s="8" t="inlineStr">
        <is>
          <t>Upgrade path</t>
        </is>
      </c>
    </row>
    <row r="7" ht="22" customHeight="1">
      <c r="A7" s="33" t="inlineStr">
        <is>
          <t>L</t>
        </is>
      </c>
      <c r="B7" s="15" t="inlineStr">
        <is>
          <t>L</t>
        </is>
      </c>
      <c r="C7" s="39" t="inlineStr">
        <is>
          <t>Std L</t>
        </is>
      </c>
      <c r="D7" s="22" t="inlineStr">
        <is>
          <t>4.7 THz</t>
        </is>
      </c>
      <c r="E7" s="6" t="inlineStr">
        <is>
          <t>L-band only</t>
        </is>
      </c>
    </row>
    <row r="8" ht="22" customHeight="1">
      <c r="A8" s="35" t="inlineStr">
        <is>
          <t>W</t>
        </is>
      </c>
      <c r="B8" s="24" t="inlineStr">
        <is>
          <t>C, C++</t>
        </is>
      </c>
      <c r="C8" s="40" t="inlineStr">
        <is>
          <t>Super C non-upg</t>
        </is>
      </c>
      <c r="D8" s="29" t="inlineStr">
        <is>
          <t>6.1 THz</t>
        </is>
      </c>
      <c r="E8" s="8" t="inlineStr">
        <is>
          <t>Wide C, no L</t>
        </is>
      </c>
    </row>
    <row r="9" ht="22" customHeight="1">
      <c r="A9" s="33" t="inlineStr">
        <is>
          <t>X</t>
        </is>
      </c>
      <c r="B9" s="15" t="inlineStr">
        <is>
          <t>C, C++</t>
        </is>
      </c>
      <c r="C9" s="39" t="inlineStr">
        <is>
          <t>Super C upg-to-L++</t>
        </is>
      </c>
      <c r="D9" s="22" t="inlineStr">
        <is>
          <t>6.1 THz</t>
        </is>
      </c>
      <c r="E9" s="6" t="inlineStr">
        <is>
          <t>Wide C, can add L++</t>
        </is>
      </c>
    </row>
    <row r="10" ht="22" customHeight="1">
      <c r="A10" s="35" t="inlineStr">
        <is>
          <t>Y</t>
        </is>
      </c>
      <c r="B10" s="24" t="inlineStr">
        <is>
          <t>C, C++, L, C+L, Super C+L</t>
        </is>
      </c>
      <c r="C10" s="40" t="inlineStr">
        <is>
          <t>Super C + Super L</t>
        </is>
      </c>
      <c r="D10" s="29" t="inlineStr">
        <is>
          <t>12.5 THz</t>
        </is>
      </c>
      <c r="E10" s="8" t="inlineStr">
        <is>
          <t>Full coverage</t>
        </is>
      </c>
    </row>
    <row r="11" ht="22" customHeight="1">
      <c r="A11" s="33" t="inlineStr">
        <is>
          <t>Z</t>
        </is>
      </c>
      <c r="B11" s="15" t="inlineStr">
        <is>
          <t>C, L, C+L</t>
        </is>
      </c>
      <c r="C11" s="39" t="inlineStr">
        <is>
          <t>Std C+L</t>
        </is>
      </c>
      <c r="D11" s="22" t="inlineStr">
        <is>
          <t>9.6 THz</t>
        </is>
      </c>
      <c r="E11" s="6" t="inlineStr">
        <is>
          <t>Dual band</t>
        </is>
      </c>
    </row>
    <row r="12" ht="22" customHeight="1">
      <c r="A12" s="35" t="inlineStr">
        <is>
          <t>0</t>
        </is>
      </c>
      <c r="B12" s="24" t="inlineStr">
        <is>
          <t>C, C++, L, C+L, Super C+L</t>
        </is>
      </c>
      <c r="C12" s="40" t="inlineStr">
        <is>
          <t>Common / agnostic</t>
        </is>
      </c>
      <c r="D12" s="29" t="inlineStr">
        <is>
          <t>N/A</t>
        </is>
      </c>
      <c r="E12" s="8" t="inlineStr">
        <is>
          <t>Universal (chassis, common)</t>
        </is>
      </c>
    </row>
    <row r="13" ht="22" customHeight="1">
      <c r="A13" s="33" t="inlineStr">
        <is>
          <t>*</t>
        </is>
      </c>
      <c r="B13" s="15" t="inlineStr">
        <is>
          <t>C, C++, L, C+L, Super C+L</t>
        </is>
      </c>
      <c r="C13" s="39" t="inlineStr">
        <is>
          <t>Chassis structural</t>
        </is>
      </c>
      <c r="D13" s="22" t="inlineStr">
        <is>
          <t>N/A</t>
        </is>
      </c>
      <c r="E13" s="6" t="inlineStr">
        <is>
          <t>Band-agnostic chassis</t>
        </is>
      </c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6" customWidth="1" min="5" max="5"/>
    <col width="14" customWidth="1" min="6" max="6"/>
    <col width="11" customWidth="1" min="7" max="7"/>
    <col width="15" customWidth="1" min="8" max="8"/>
    <col width="10" customWidth="1" min="9" max="9"/>
  </cols>
  <sheetData>
    <row r="1" ht="30" customHeight="1">
      <c r="A1" s="37" t="inlineStr">
        <is>
          <t>Shelf Variant — Chassis dimensions + RU</t>
        </is>
      </c>
    </row>
    <row r="3" ht="36" customHeight="1">
      <c r="A3" s="13" t="inlineStr">
        <is>
          <t>Shelf</t>
        </is>
      </c>
      <c r="B3" s="13" t="inlineStr">
        <is>
          <t>Family</t>
        </is>
      </c>
      <c r="C3" s="13" t="inlineStr">
        <is>
          <t>Width (mm)</t>
        </is>
      </c>
      <c r="D3" s="13" t="inlineStr">
        <is>
          <t>Height (mm)</t>
        </is>
      </c>
      <c r="E3" s="13" t="inlineStr">
        <is>
          <t>RU</t>
        </is>
      </c>
      <c r="F3" s="13" t="inlineStr">
        <is>
          <t>Nominal Depth</t>
        </is>
      </c>
      <c r="G3" s="13" t="inlineStr">
        <is>
          <t>Max Depth</t>
        </is>
      </c>
      <c r="H3" s="13" t="inlineStr">
        <is>
          <t>Rack to install</t>
        </is>
      </c>
      <c r="I3" s="13" t="inlineStr">
        <is>
          <t>Diff Depth</t>
        </is>
      </c>
    </row>
    <row r="4" ht="22" customHeight="1">
      <c r="A4" s="33" t="inlineStr">
        <is>
          <t>G31</t>
        </is>
      </c>
      <c r="B4" s="41" t="inlineStr">
        <is>
          <t>full</t>
        </is>
      </c>
      <c r="C4" s="17" t="n">
        <v>440</v>
      </c>
      <c r="D4" s="17" t="n">
        <v>44</v>
      </c>
      <c r="E4" s="17" t="n">
        <v>1</v>
      </c>
      <c r="F4" s="17" t="n">
        <v>500</v>
      </c>
      <c r="G4" s="17" t="n">
        <v>663.2</v>
      </c>
      <c r="H4" s="17" t="n">
        <v>700</v>
      </c>
      <c r="I4" s="17">
        <f>G4-F4</f>
        <v/>
      </c>
    </row>
    <row r="5" ht="22" customHeight="1">
      <c r="A5" s="35" t="inlineStr">
        <is>
          <t>G32</t>
        </is>
      </c>
      <c r="B5" s="41" t="inlineStr">
        <is>
          <t>full</t>
        </is>
      </c>
      <c r="C5" s="26" t="n">
        <v>440</v>
      </c>
      <c r="D5" s="26" t="n">
        <v>88</v>
      </c>
      <c r="E5" s="26" t="n">
        <v>2</v>
      </c>
      <c r="F5" s="26" t="n">
        <v>530</v>
      </c>
      <c r="G5" s="26" t="n">
        <v>668.2</v>
      </c>
      <c r="H5" s="26" t="n">
        <v>700</v>
      </c>
      <c r="I5" s="26">
        <f>G5-F5</f>
        <v/>
      </c>
    </row>
    <row r="6" ht="22" customHeight="1">
      <c r="A6" s="33" t="inlineStr">
        <is>
          <t>G32c</t>
        </is>
      </c>
      <c r="B6" s="42" t="inlineStr">
        <is>
          <t>compact</t>
        </is>
      </c>
      <c r="C6" s="17" t="inlineStr"/>
      <c r="D6" s="17" t="inlineStr"/>
      <c r="E6" s="17" t="n">
        <v>2</v>
      </c>
      <c r="F6" s="17" t="inlineStr"/>
      <c r="G6" s="17" t="inlineStr"/>
      <c r="H6" s="17" t="n">
        <v>300</v>
      </c>
      <c r="I6" s="17">
        <f>G6-F6</f>
        <v/>
      </c>
    </row>
    <row r="7" ht="22" customHeight="1">
      <c r="A7" s="35" t="inlineStr">
        <is>
          <t>G32E</t>
        </is>
      </c>
      <c r="B7" s="41" t="inlineStr">
        <is>
          <t>full</t>
        </is>
      </c>
      <c r="C7" s="26" t="n">
        <v>440</v>
      </c>
      <c r="D7" s="26" t="n">
        <v>88</v>
      </c>
      <c r="E7" s="26" t="n">
        <v>2</v>
      </c>
      <c r="F7" s="26" t="n">
        <v>530</v>
      </c>
      <c r="G7" s="26" t="n">
        <v>668.2</v>
      </c>
      <c r="H7" s="26" t="n">
        <v>700</v>
      </c>
      <c r="I7" s="26">
        <f>G7-F7</f>
        <v/>
      </c>
    </row>
    <row r="8" ht="22" customHeight="1">
      <c r="A8" s="33" t="inlineStr">
        <is>
          <t>G34c</t>
        </is>
      </c>
      <c r="B8" s="42" t="inlineStr">
        <is>
          <t>compact</t>
        </is>
      </c>
      <c r="C8" s="17" t="n">
        <v>440</v>
      </c>
      <c r="D8" s="17" t="n">
        <v>176</v>
      </c>
      <c r="E8" s="17" t="n">
        <v>4</v>
      </c>
      <c r="F8" s="17" t="n">
        <v>250.6</v>
      </c>
      <c r="G8" s="17" t="n">
        <v>295</v>
      </c>
      <c r="H8" s="17" t="n">
        <v>300</v>
      </c>
      <c r="I8" s="17">
        <f>G8-F8</f>
        <v/>
      </c>
    </row>
    <row r="9" ht="22" customHeight="1">
      <c r="A9" s="35" t="inlineStr">
        <is>
          <t>G34Xc</t>
        </is>
      </c>
      <c r="B9" s="42" t="inlineStr">
        <is>
          <t>compact</t>
        </is>
      </c>
      <c r="C9" s="26" t="inlineStr"/>
      <c r="D9" s="26" t="inlineStr"/>
      <c r="E9" s="26" t="n">
        <v>4</v>
      </c>
      <c r="F9" s="26" t="inlineStr"/>
      <c r="G9" s="26" t="inlineStr"/>
      <c r="H9" s="26" t="n">
        <v>300</v>
      </c>
      <c r="I9" s="26">
        <f>G9-F9</f>
        <v/>
      </c>
    </row>
    <row r="10" ht="22" customHeight="1">
      <c r="A10" s="33" t="inlineStr">
        <is>
          <t>G34L</t>
        </is>
      </c>
      <c r="B10" s="41" t="inlineStr">
        <is>
          <t>full</t>
        </is>
      </c>
      <c r="C10" s="17" t="inlineStr"/>
      <c r="D10" s="17" t="inlineStr"/>
      <c r="E10" s="17" t="n">
        <v>4</v>
      </c>
      <c r="F10" s="17" t="inlineStr"/>
      <c r="G10" s="17" t="inlineStr"/>
      <c r="H10" s="17" t="inlineStr">
        <is>
          <t>600??</t>
        </is>
      </c>
      <c r="I10" s="17">
        <f>G10-F10</f>
        <v/>
      </c>
    </row>
    <row r="11" ht="22" customHeight="1">
      <c r="A11" s="35" t="inlineStr">
        <is>
          <t>G38c</t>
        </is>
      </c>
      <c r="B11" s="42" t="inlineStr">
        <is>
          <t>compact</t>
        </is>
      </c>
      <c r="C11" s="26" t="inlineStr"/>
      <c r="D11" s="26" t="inlineStr"/>
      <c r="E11" s="26" t="n">
        <v>3</v>
      </c>
      <c r="F11" s="26" t="inlineStr"/>
      <c r="G11" s="26" t="inlineStr"/>
      <c r="H11" s="26" t="n">
        <v>300</v>
      </c>
      <c r="I11" s="26">
        <f>G11-F11</f>
        <v/>
      </c>
    </row>
    <row r="12" ht="22" customHeight="1">
      <c r="A12" s="33" t="inlineStr">
        <is>
          <t>G42</t>
        </is>
      </c>
      <c r="B12" s="41" t="inlineStr">
        <is>
          <t>full</t>
        </is>
      </c>
      <c r="C12" s="17" t="n">
        <v>440.94</v>
      </c>
      <c r="D12" s="17" t="n">
        <v>132.59</v>
      </c>
      <c r="E12" s="17" t="n">
        <v>3</v>
      </c>
      <c r="F12" s="17" t="n">
        <v>497.33</v>
      </c>
      <c r="G12" s="17" t="n">
        <v>578.87</v>
      </c>
      <c r="H12" s="17" t="n">
        <v>600</v>
      </c>
      <c r="I12" s="17">
        <f>G12-F12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4" customWidth="1" min="3" max="3"/>
    <col width="11" customWidth="1" min="4" max="4"/>
    <col width="14" customWidth="1" min="5" max="5"/>
    <col width="16" customWidth="1" min="6" max="6"/>
    <col width="8" customWidth="1" min="7" max="7"/>
  </cols>
  <sheetData>
    <row r="1" ht="30" customHeight="1">
      <c r="A1" s="37" t="inlineStr">
        <is>
          <t>Topology + Power Calculator</t>
        </is>
      </c>
    </row>
    <row r="3" ht="22" customHeight="1">
      <c r="A3" s="3" t="inlineStr">
        <is>
          <t>INPUT (yellow = editable)</t>
        </is>
      </c>
    </row>
    <row r="4" ht="22" customHeight="1">
      <c r="A4" s="43" t="inlineStr">
        <is>
          <t>Total distance (km)</t>
        </is>
      </c>
      <c r="B4" s="44" t="n">
        <v>1800</v>
      </c>
    </row>
    <row r="5" ht="22" customHeight="1">
      <c r="A5" s="43" t="inlineStr">
        <is>
          <t>Avg span between ILAs (km)</t>
        </is>
      </c>
      <c r="B5" s="44" t="n">
        <v>60</v>
      </c>
    </row>
    <row r="6" ht="22" customHeight="1">
      <c r="A6" s="43" t="inlineStr">
        <is>
          <t>Raman required?</t>
        </is>
      </c>
      <c r="B6" s="44" t="inlineStr">
        <is>
          <t>Yes</t>
        </is>
      </c>
    </row>
    <row r="7" ht="22" customHeight="1">
      <c r="A7" s="43" t="inlineStr">
        <is>
          <t>FP count</t>
        </is>
      </c>
      <c r="B7" s="44" t="n">
        <v>1</v>
      </c>
    </row>
    <row r="8" ht="22" customHeight="1">
      <c r="A8" s="43" t="inlineStr">
        <is>
          <t>Rack count per ILA site</t>
        </is>
      </c>
      <c r="B8" s="44" t="n">
        <v>1</v>
      </c>
    </row>
    <row r="9" ht="22" customHeight="1">
      <c r="A9" s="43" t="inlineStr">
        <is>
          <t>Rack max power (W)</t>
        </is>
      </c>
      <c r="B9" s="44" t="n">
        <v>4000</v>
      </c>
    </row>
    <row r="10" ht="22" customHeight="1">
      <c r="A10" s="43" t="inlineStr">
        <is>
          <t>Rack height (U)</t>
        </is>
      </c>
      <c r="B10" s="44" t="n">
        <v>42</v>
      </c>
    </row>
    <row r="12" ht="22" customHeight="1">
      <c r="A12" s="45" t="inlineStr">
        <is>
          <t>DERIVED</t>
        </is>
      </c>
    </row>
    <row r="13" ht="24" customHeight="1">
      <c r="A13" s="43" t="inlineStr">
        <is>
          <t>Number of spans</t>
        </is>
      </c>
      <c r="B13" s="46">
        <f>IF(B4&lt;=B5,1,ROUNDUP(B4/B5,0))</f>
        <v/>
      </c>
      <c r="C13" s="38" t="inlineStr">
        <is>
          <t>ceil(total/span)</t>
        </is>
      </c>
    </row>
    <row r="14" ht="24" customHeight="1">
      <c r="A14" s="43" t="inlineStr">
        <is>
          <t>Term nodes</t>
        </is>
      </c>
      <c r="B14" s="46">
        <f>2</f>
        <v/>
      </c>
      <c r="C14" s="38" t="inlineStr">
        <is>
          <t>always 2</t>
        </is>
      </c>
    </row>
    <row r="15" ht="24" customHeight="1">
      <c r="A15" s="43" t="inlineStr">
        <is>
          <t>ILA sites</t>
        </is>
      </c>
      <c r="B15" s="46">
        <f>IF(B4&lt;=B5,0,ROUNDUP(B4/B5,0)-1)</f>
        <v/>
      </c>
      <c r="C15" s="38" t="inlineStr">
        <is>
          <t>spans − 1</t>
        </is>
      </c>
    </row>
    <row r="16" ht="24" customHeight="1">
      <c r="A16" s="43" t="inlineStr">
        <is>
          <t>Topology</t>
        </is>
      </c>
      <c r="B16" s="46">
        <f>IF(B4&lt;=B5,"P2P",IF(B6="Yes","Raman ILA","EDFA-only ILA"))</f>
        <v/>
      </c>
      <c r="C16" s="38" t="inlineStr"/>
    </row>
    <row r="17" ht="24" customHeight="1">
      <c r="A17" s="43" t="inlineStr">
        <is>
          <t>Rack budget/site</t>
        </is>
      </c>
      <c r="B17" s="46">
        <f>B9*B8</f>
        <v/>
      </c>
      <c r="C17" s="38" t="inlineStr">
        <is>
          <t>racks × max power</t>
        </is>
      </c>
    </row>
    <row r="18" ht="24" customHeight="1">
      <c r="A18" s="43" t="inlineStr">
        <is>
          <t>Rack budget × 0.9 (PEM in)</t>
        </is>
      </c>
      <c r="B18" s="46">
        <f>B16*0.9</f>
        <v/>
      </c>
      <c r="C18" s="38" t="inlineStr">
        <is>
          <t>PEM eff input cap</t>
        </is>
      </c>
    </row>
    <row r="21" ht="22" customHeight="1">
      <c r="A21" s="45" t="inlineStr">
        <is>
          <t>EXAMPLE BoM (1800 km / 60 km / FP1 / C+L / Raman / ROADM)</t>
        </is>
      </c>
    </row>
    <row r="22" ht="36" customHeight="1">
      <c r="A22" s="4" t="inlineStr">
        <is>
          <t>Item</t>
        </is>
      </c>
      <c r="B22" s="4" t="inlineStr">
        <is>
          <t>Per unit</t>
        </is>
      </c>
      <c r="C22" s="4" t="inlineStr">
        <is>
          <t>× Count</t>
        </is>
      </c>
      <c r="D22" s="4" t="inlineStr">
        <is>
          <t>Total qty</t>
        </is>
      </c>
      <c r="E22" s="4" t="inlineStr">
        <is>
          <t>Power (W typ)</t>
        </is>
      </c>
      <c r="F22" s="4" t="inlineStr">
        <is>
          <t>Power (W max@40)</t>
        </is>
      </c>
      <c r="G22" s="4" t="inlineStr">
        <is>
          <t>RU</t>
        </is>
      </c>
    </row>
    <row r="23">
      <c r="A23" s="16" t="inlineStr">
        <is>
          <t>G32E term chassis (full)</t>
        </is>
      </c>
      <c r="B23" s="17" t="inlineStr">
        <is>
          <t>1/node</t>
        </is>
      </c>
      <c r="C23" s="17" t="inlineStr">
        <is>
          <t>× 2 nodes</t>
        </is>
      </c>
      <c r="D23" s="17" t="n">
        <v>2</v>
      </c>
      <c r="E23" s="17" t="n">
        <v>352</v>
      </c>
      <c r="F23" s="17" t="n">
        <v>764</v>
      </c>
      <c r="G23" s="17" t="n">
        <v>4</v>
      </c>
    </row>
    <row r="24">
      <c r="A24" s="25" t="inlineStr">
        <is>
          <t>GLS-G30OCC2T-00 OCC</t>
        </is>
      </c>
      <c r="B24" s="26" t="inlineStr">
        <is>
          <t>1/node</t>
        </is>
      </c>
      <c r="C24" s="26" t="inlineStr">
        <is>
          <t>× 2 nodes</t>
        </is>
      </c>
      <c r="D24" s="26" t="n">
        <v>2</v>
      </c>
      <c r="E24" s="26" t="n">
        <v>40</v>
      </c>
      <c r="F24" s="26" t="n">
        <v>50</v>
      </c>
      <c r="G24" s="26" t="n">
        <v>0</v>
      </c>
    </row>
    <row r="25">
      <c r="A25" s="16" t="inlineStr">
        <is>
          <t>G3S-H3RD66TM-Z0 ROADM</t>
        </is>
      </c>
      <c r="B25" s="17" t="inlineStr">
        <is>
          <t>1/node</t>
        </is>
      </c>
      <c r="C25" s="17" t="inlineStr">
        <is>
          <t>× 2 nodes</t>
        </is>
      </c>
      <c r="D25" s="17" t="n">
        <v>2</v>
      </c>
      <c r="E25" s="17" t="n">
        <v>370</v>
      </c>
      <c r="F25" s="17" t="n">
        <v>510</v>
      </c>
      <c r="G25" s="17" t="n">
        <v>0</v>
      </c>
    </row>
    <row r="26">
      <c r="A26" s="25" t="inlineStr">
        <is>
          <t>G3S-G2PBALZZ-N0 booster</t>
        </is>
      </c>
      <c r="B26" s="26" t="inlineStr">
        <is>
          <t>1/node</t>
        </is>
      </c>
      <c r="C26" s="26" t="inlineStr">
        <is>
          <t>× 2 nodes</t>
        </is>
      </c>
      <c r="D26" s="26" t="n">
        <v>2</v>
      </c>
      <c r="E26" s="26" t="n">
        <v>66</v>
      </c>
      <c r="F26" s="26" t="n">
        <v>160</v>
      </c>
      <c r="G26" s="26" t="n">
        <v>0</v>
      </c>
    </row>
    <row r="27">
      <c r="A27" s="16" t="inlineStr">
        <is>
          <t>G34c ILA chassis (compact)</t>
        </is>
      </c>
      <c r="B27" s="17" t="inlineStr">
        <is>
          <t>1/site</t>
        </is>
      </c>
      <c r="C27" s="17" t="inlineStr">
        <is>
          <t>× 29 sites</t>
        </is>
      </c>
      <c r="D27" s="17" t="n">
        <v>29</v>
      </c>
      <c r="E27" s="17" t="n">
        <v>3074</v>
      </c>
      <c r="F27" s="17" t="n">
        <v>3886</v>
      </c>
      <c r="G27" s="17" t="n">
        <v>116</v>
      </c>
    </row>
    <row r="28">
      <c r="A28" s="25" t="inlineStr">
        <is>
          <t>G3S-D2ILASGM-Z0 EDFA BIDI</t>
        </is>
      </c>
      <c r="B28" s="26" t="inlineStr">
        <is>
          <t>1/site</t>
        </is>
      </c>
      <c r="C28" s="26" t="inlineStr">
        <is>
          <t>× 29 sites</t>
        </is>
      </c>
      <c r="D28" s="26" t="n">
        <v>29</v>
      </c>
      <c r="E28" s="26" t="n">
        <v>3190</v>
      </c>
      <c r="F28" s="26" t="n">
        <v>4205</v>
      </c>
      <c r="G28" s="26" t="n">
        <v>0</v>
      </c>
    </row>
    <row r="29">
      <c r="A29" s="16" t="inlineStr">
        <is>
          <t>G3S-C2RPBMZZ-Y2 Raman uni</t>
        </is>
      </c>
      <c r="B29" s="17" t="inlineStr">
        <is>
          <t>2/site</t>
        </is>
      </c>
      <c r="C29" s="17" t="inlineStr">
        <is>
          <t>× 29 sites</t>
        </is>
      </c>
      <c r="D29" s="17" t="n">
        <v>58</v>
      </c>
      <c r="E29" s="17" t="n">
        <v>3132</v>
      </c>
      <c r="F29" s="17" t="n">
        <v>4930</v>
      </c>
      <c r="G29" s="17" t="n">
        <v>0</v>
      </c>
    </row>
    <row r="30">
      <c r="A30" s="47" t="inlineStr">
        <is>
          <t>LINK TOTAL</t>
        </is>
      </c>
      <c r="B30" s="48" t="inlineStr"/>
      <c r="C30" s="48" t="inlineStr"/>
      <c r="D30" s="48" t="inlineStr"/>
      <c r="E30" s="48" t="n">
        <v>10224</v>
      </c>
      <c r="F30" s="48" t="n">
        <v>14505</v>
      </c>
      <c r="G30" s="48" t="n">
        <v>120</v>
      </c>
    </row>
    <row r="31">
      <c r="A31" s="49" t="inlineStr">
        <is>
          <t>Per-PEM (input @ 90% eff)</t>
        </is>
      </c>
      <c r="B31" s="50" t="inlineStr"/>
      <c r="C31" s="50" t="inlineStr"/>
      <c r="D31" s="50" t="inlineStr"/>
      <c r="E31" s="50" t="n">
        <v>11360</v>
      </c>
      <c r="F31" s="50" t="n">
        <v>16117</v>
      </c>
      <c r="G31" s="50" t="inlineStr"/>
    </row>
  </sheetData>
  <mergeCells count="3">
    <mergeCell ref="A21:E21"/>
    <mergeCell ref="A12:E1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2026-05-25T14:38:33Z</dcterms:created>
  <dcterms:modified xmlns:dcterms="http://purl.org/dc/terms/" xmlns:xsi="http://www.w3.org/2001/XMLSchema-instance" xsi:type="dcterms:W3CDTF">2026-05-26T01:34:02Z</dcterms:modified>
</cp:coreProperties>
</file>